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wmf" ContentType="image/x-wmf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/>
  <bookViews>
    <workbookView xWindow="-120" yWindow="-120" windowWidth="23256" windowHeight="13176" activeTab="1"/>
  </bookViews>
  <sheets>
    <sheet name="SOURCE DATA" sheetId="1" r:id="rId1"/>
    <sheet name="DASHBOARD" sheetId="2" r:id="rId2"/>
    <sheet name="YEARLY SALES PT" sheetId="3" r:id="rId3"/>
    <sheet name="CUSTOMER MAP" sheetId="4" r:id="rId4"/>
    <sheet name="CUsTOMER SALES PT" sheetId="5" r:id="rId5"/>
    <sheet name="SHIPPING PT" sheetId="6" r:id="rId6"/>
  </sheets>
  <definedNames>
    <definedName name="_xlnm._FilterDatabase" localSheetId="2" hidden="1">'YEARLY SALES PT'!$A$2:$F$2</definedName>
  </definedNames>
  <calcPr calcId="124519"/>
  <pivotCaches>
    <pivotCache cacheId="0" r:id="rId7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<sst xmlns="http://schemas.openxmlformats.org/spreadsheetml/2006/main" count="1190" uniqueCount="117">
  <si>
    <t>Customer ID</t>
  </si>
  <si>
    <t>Company Name</t>
  </si>
  <si>
    <t>Order Date</t>
  </si>
  <si>
    <t>Required Date</t>
  </si>
  <si>
    <t>Shipped Date</t>
  </si>
  <si>
    <t>Ship Via</t>
  </si>
  <si>
    <t>Freight</t>
  </si>
  <si>
    <t>Late</t>
  </si>
  <si>
    <t>GREAL</t>
  </si>
  <si>
    <t>Great Lakes Food Market</t>
  </si>
  <si>
    <t>United Package</t>
  </si>
  <si>
    <t>2732 Baker Blvd.</t>
  </si>
  <si>
    <t>Eugene</t>
  </si>
  <si>
    <t>Oregon</t>
  </si>
  <si>
    <t>97403</t>
  </si>
  <si>
    <t>USA</t>
  </si>
  <si>
    <t>Speedy Express</t>
  </si>
  <si>
    <t>Federal Shipping</t>
  </si>
  <si>
    <t>HUNGC</t>
  </si>
  <si>
    <t>Hungry Coyote Import Store</t>
  </si>
  <si>
    <t>City Center Plaza
516 Main St.</t>
  </si>
  <si>
    <t>Elgin</t>
  </si>
  <si>
    <t>97827</t>
  </si>
  <si>
    <t>LAZYK</t>
  </si>
  <si>
    <t>Lazy K Kountry Store</t>
  </si>
  <si>
    <t>12 Orchestra Terrace</t>
  </si>
  <si>
    <t>Walla Walla</t>
  </si>
  <si>
    <t>Washington</t>
  </si>
  <si>
    <t>99362</t>
  </si>
  <si>
    <t>LETSS</t>
  </si>
  <si>
    <t>Let's Stop N Shop</t>
  </si>
  <si>
    <t>87 Polk St.
Suite 5</t>
  </si>
  <si>
    <t>San Francisco</t>
  </si>
  <si>
    <t>California</t>
  </si>
  <si>
    <t>94117</t>
  </si>
  <si>
    <t>LONEP</t>
  </si>
  <si>
    <t>Lonesome Pine Restaurant</t>
  </si>
  <si>
    <t>89 Chiaroscuro Rd.</t>
  </si>
  <si>
    <t>Portland</t>
  </si>
  <si>
    <t>97219</t>
  </si>
  <si>
    <t>OLDWO</t>
  </si>
  <si>
    <t>Old World Delicatessen</t>
  </si>
  <si>
    <t>2743 Bering St.</t>
  </si>
  <si>
    <t>Anchorage</t>
  </si>
  <si>
    <t>Alaska</t>
  </si>
  <si>
    <t>99508</t>
  </si>
  <si>
    <t>RATTC</t>
  </si>
  <si>
    <t>Rattlesnake Canyon Grocery</t>
  </si>
  <si>
    <t>2817 Milton Dr.</t>
  </si>
  <si>
    <t>Albuquerque</t>
  </si>
  <si>
    <t>New Mexico</t>
  </si>
  <si>
    <t>87110</t>
  </si>
  <si>
    <t>SAVEA</t>
  </si>
  <si>
    <t>Save-a-lot Markets</t>
  </si>
  <si>
    <t>187 Suffolk Ln.</t>
  </si>
  <si>
    <t>Boise</t>
  </si>
  <si>
    <t>Idaho</t>
  </si>
  <si>
    <t>83720</t>
  </si>
  <si>
    <t>SPLIR</t>
  </si>
  <si>
    <t>Split Rail Beer &amp; Ale</t>
  </si>
  <si>
    <t>P.O. Box 555</t>
  </si>
  <si>
    <t>Lander</t>
  </si>
  <si>
    <t>Wyoming</t>
  </si>
  <si>
    <t>82520</t>
  </si>
  <si>
    <t>THEBI</t>
  </si>
  <si>
    <t>The Big Cheese</t>
  </si>
  <si>
    <t>89 Jefferson Way
Suite 2</t>
  </si>
  <si>
    <t>97201</t>
  </si>
  <si>
    <t>THECR</t>
  </si>
  <si>
    <t>The Cracker Box</t>
  </si>
  <si>
    <t>55 Grizzly Peak Rd.</t>
  </si>
  <si>
    <t>Butte</t>
  </si>
  <si>
    <t>Montana</t>
  </si>
  <si>
    <t>59801</t>
  </si>
  <si>
    <t>TRAIH</t>
  </si>
  <si>
    <t>Trail's Head Gourmet Provisioners</t>
  </si>
  <si>
    <t>722 DaVinci Blvd.</t>
  </si>
  <si>
    <t>Kirkland</t>
  </si>
  <si>
    <t>98034</t>
  </si>
  <si>
    <t>WHITC</t>
  </si>
  <si>
    <t>White Clover Markets</t>
  </si>
  <si>
    <t>Seattle</t>
  </si>
  <si>
    <t>Ship Address</t>
  </si>
  <si>
    <t>Ship City</t>
  </si>
  <si>
    <t>Ship Region</t>
  </si>
  <si>
    <t>Ship Postal Code</t>
  </si>
  <si>
    <t>Ship Country</t>
  </si>
  <si>
    <t>Order Total</t>
  </si>
  <si>
    <t>SumOfQuantity</t>
  </si>
  <si>
    <t>NO</t>
  </si>
  <si>
    <t>YES</t>
  </si>
  <si>
    <t>PRINI</t>
  </si>
  <si>
    <t>Princesa Isabel Vinhos</t>
  </si>
  <si>
    <t>1029 - 12th Ave. S.</t>
  </si>
  <si>
    <t>98124</t>
  </si>
  <si>
    <t>Customer Orders</t>
  </si>
  <si>
    <t>Row Labels</t>
  </si>
  <si>
    <t>Grand Total</t>
  </si>
  <si>
    <t>1996</t>
  </si>
  <si>
    <t>1997</t>
  </si>
  <si>
    <t>1998</t>
  </si>
  <si>
    <t>Sum of Order Total</t>
  </si>
  <si>
    <t xml:space="preserve">Count </t>
  </si>
  <si>
    <t>Sum of Freight</t>
  </si>
  <si>
    <t>Count of Customer ID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</si>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</sst>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&quot;$&quot;#,##0.00;\(&quot;$&quot;#,##0.00\)"/>
    <numFmt numFmtId="166" formatCode="dd/mmm/yyyy"/>
  </numFmts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28"/>
      <color theme="1"/>
      <name val="Agency FB"/>
      <family val="2"/>
    </font>
    <font>
      <b/>
      <sz val="11"/>
      <color theme="1"/>
      <name val="Agency FB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164" fontId="2" fillId="0" borderId="2" xfId="1" applyNumberFormat="1" applyFont="1" applyBorder="1" applyAlignment="1">
      <alignment horizontal="right" wrapText="1"/>
    </xf>
    <xf numFmtId="165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horizontal="right" wrapText="1"/>
    </xf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166" fontId="0" fillId="0" borderId="0" xfId="0" applyNumberFormat="1" applyAlignment="1">
      <alignment horizontal="left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OURCE DATA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255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[CustomerOrdersDashboard-01 (1).xlsx]YEARLY SALES PT!MONTH SALES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ln cap="flat">
            <a:solidFill>
              <a:sysClr val="window" lastClr="FFFFFF"/>
            </a:solidFill>
            <a:prstDash val="solid"/>
            <a:beve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diamond"/>
          <c:size val="6"/>
          <c:spPr>
            <a:solidFill>
              <a:schemeClr val="tx1"/>
            </a:solidFill>
            <a:ln>
              <a:gradFill flip="none" rotWithShape="1">
                <a:gsLst>
                  <a:gs pos="0">
                    <a:srgbClr val="000082"/>
                  </a:gs>
                  <a:gs pos="30000">
                    <a:srgbClr val="66008F"/>
                  </a:gs>
                  <a:gs pos="64999">
                    <a:srgbClr val="BA0066"/>
                  </a:gs>
                  <a:gs pos="89999">
                    <a:srgbClr val="FF0000"/>
                  </a:gs>
                  <a:gs pos="100000">
                    <a:srgbClr val="FF8200"/>
                  </a:gs>
                </a:gsLst>
                <a:lin ang="5400000" scaled="0"/>
                <a:tileRect/>
              </a:gra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8.2171979716127719E-2"/>
          <c:y val="5.7464678617300514E-2"/>
          <c:w val="0.88087753058299134"/>
          <c:h val="0.55273580164181713"/>
        </c:manualLayout>
      </c:layout>
      <c:lineChart>
        <c:grouping val="standard"/>
        <c:ser>
          <c:idx val="0"/>
          <c:order val="0"/>
          <c:tx>
            <c:strRef>
              <c:f>'YEARLY SALES PT'!$B$7</c:f>
              <c:strCache>
                <c:ptCount val="1"/>
                <c:pt idx="0">
                  <c:v>Total</c:v>
                </c:pt>
              </c:strCache>
            </c:strRef>
          </c:tx>
          <c:spPr>
            <a:ln cap="flat">
              <a:solidFill>
                <a:sysClr val="window" lastClr="FFFFFF"/>
              </a:solidFill>
              <a:prstDash val="solid"/>
              <a:beve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6"/>
            <c:spPr>
              <a:solidFill>
                <a:schemeClr val="tx1"/>
              </a:solidFill>
              <a:ln>
                <a:gradFill flip="none" rotWithShape="1">
                  <a:gsLst>
                    <a:gs pos="0">
                      <a:srgbClr val="000082"/>
                    </a:gs>
                    <a:gs pos="30000">
                      <a:srgbClr val="66008F"/>
                    </a:gs>
                    <a:gs pos="64999">
                      <a:srgbClr val="BA0066"/>
                    </a:gs>
                    <a:gs pos="89999">
                      <a:srgbClr val="FF0000"/>
                    </a:gs>
                    <a:gs pos="100000">
                      <a:srgbClr val="FF8200"/>
                    </a:gs>
                  </a:gsLst>
                  <a:lin ang="5400000" scaled="0"/>
                  <a:tileRect/>
                </a:gra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cat>
            <c:multiLvlStrRef>
              <c:f>'YEARLY SALES PT'!$A$8:$A$34</c:f>
              <c:multiLvlStrCache>
                <c:ptCount val="2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</c:lvl>
                <c:lvl>
                  <c:pt idx="0">
                    <c:v>1996</c:v>
                  </c:pt>
                  <c:pt idx="6">
                    <c:v>1997</c:v>
                  </c:pt>
                  <c:pt idx="18">
                    <c:v>1998</c:v>
                  </c:pt>
                </c:lvl>
              </c:multiLvlStrCache>
            </c:multiLvlStrRef>
          </c:cat>
          <c:val>
            <c:numRef>
              <c:f>'YEARLY SALES PT'!$B$8:$B$34</c:f>
              <c:numCache>
                <c:formatCode>General</c:formatCode>
                <c:ptCount val="23"/>
                <c:pt idx="0">
                  <c:v>1300.8</c:v>
                </c:pt>
                <c:pt idx="1">
                  <c:v>3391.6</c:v>
                </c:pt>
                <c:pt idx="2">
                  <c:v>10367</c:v>
                </c:pt>
                <c:pt idx="3">
                  <c:v>11909.8</c:v>
                </c:pt>
                <c:pt idx="4">
                  <c:v>4728.8</c:v>
                </c:pt>
                <c:pt idx="5">
                  <c:v>10209.799999999999</c:v>
                </c:pt>
                <c:pt idx="6">
                  <c:v>4456</c:v>
                </c:pt>
                <c:pt idx="7">
                  <c:v>9644.1</c:v>
                </c:pt>
                <c:pt idx="8">
                  <c:v>12472.1</c:v>
                </c:pt>
                <c:pt idx="9">
                  <c:v>6123.94</c:v>
                </c:pt>
                <c:pt idx="10">
                  <c:v>1023.4000000000001</c:v>
                </c:pt>
                <c:pt idx="11">
                  <c:v>7608.05</c:v>
                </c:pt>
                <c:pt idx="12">
                  <c:v>26022.299999999996</c:v>
                </c:pt>
                <c:pt idx="13">
                  <c:v>2657.74</c:v>
                </c:pt>
                <c:pt idx="14">
                  <c:v>16429.95</c:v>
                </c:pt>
                <c:pt idx="15">
                  <c:v>20836.12</c:v>
                </c:pt>
                <c:pt idx="16">
                  <c:v>10131.5</c:v>
                </c:pt>
                <c:pt idx="17">
                  <c:v>3632.5</c:v>
                </c:pt>
                <c:pt idx="18">
                  <c:v>27594.450000000004</c:v>
                </c:pt>
                <c:pt idx="19">
                  <c:v>18775.650000000001</c:v>
                </c:pt>
                <c:pt idx="20">
                  <c:v>13004.25</c:v>
                </c:pt>
                <c:pt idx="21">
                  <c:v>34221.479999999996</c:v>
                </c:pt>
                <c:pt idx="22">
                  <c:v>7025.65</c:v>
                </c:pt>
              </c:numCache>
            </c:numRef>
          </c:val>
        </c:ser>
        <c:marker val="1"/>
        <c:axId val="86923904"/>
        <c:axId val="86926080"/>
      </c:lineChart>
      <c:catAx>
        <c:axId val="86923904"/>
        <c:scaling>
          <c:orientation val="minMax"/>
        </c:scaling>
        <c:axPos val="b"/>
        <c:tickLblPos val="nextTo"/>
        <c:spPr>
          <a:ln>
            <a:solidFill>
              <a:schemeClr val="tx1"/>
            </a:solidFill>
          </a:ln>
        </c:spPr>
        <c:crossAx val="86926080"/>
        <c:crosses val="autoZero"/>
        <c:auto val="1"/>
        <c:lblAlgn val="ctr"/>
        <c:lblOffset val="100"/>
      </c:catAx>
      <c:valAx>
        <c:axId val="86926080"/>
        <c:scaling>
          <c:orientation val="minMax"/>
        </c:scaling>
        <c:axPos val="l"/>
        <c:majorGridlines/>
        <c:numFmt formatCode="General" sourceLinked="1"/>
        <c:tickLblPos val="nextTo"/>
        <c:crossAx val="86923904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</c:chart>
  <c:spPr>
    <a:noFill/>
    <a:ln>
      <a:noFill/>
    </a:ln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[CustomerOrdersDashboard-01 (1).xlsx]SHIPPING PT!PivotTable2</c:name>
    <c:fmtId val="2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ln>
            <a:solidFill>
              <a:schemeClr val="tx1"/>
            </a:solidFill>
          </a:ln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solidFill>
              <a:schemeClr val="tx1"/>
            </a:solidFill>
          </a:ln>
        </c:spPr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0.28209682123067986"/>
          <c:y val="3.109452736318408E-2"/>
          <c:w val="0.45432487605715993"/>
          <c:h val="0.61028714694245267"/>
        </c:manualLayout>
      </c:layout>
      <c:pieChart>
        <c:varyColors val="1"/>
        <c:ser>
          <c:idx val="0"/>
          <c:order val="0"/>
          <c:tx>
            <c:strRef>
              <c:f>'SHIPPING PT'!$B$6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2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</c:spPr>
          </c:dPt>
          <c:cat>
            <c:strRef>
              <c:f>'SHIPPING PT'!$A$7:$A$10</c:f>
              <c:strCache>
                <c:ptCount val="3"/>
                <c:pt idx="0">
                  <c:v>Federal Shipping</c:v>
                </c:pt>
                <c:pt idx="1">
                  <c:v>Speedy Express</c:v>
                </c:pt>
                <c:pt idx="2">
                  <c:v>United Package</c:v>
                </c:pt>
              </c:strCache>
            </c:strRef>
          </c:cat>
          <c:val>
            <c:numRef>
              <c:f>'SHIPPING PT'!$B$7:$B$10</c:f>
              <c:numCache>
                <c:formatCode>General</c:formatCode>
                <c:ptCount val="3"/>
                <c:pt idx="0">
                  <c:v>5697.9900000000016</c:v>
                </c:pt>
                <c:pt idx="1">
                  <c:v>2294.7199999999993</c:v>
                </c:pt>
                <c:pt idx="2">
                  <c:v>5778.5800000000017</c:v>
                </c:pt>
              </c:numCache>
            </c:numRef>
          </c:val>
        </c:ser>
        <c:firstSliceAng val="0"/>
      </c:pieChart>
    </c:plotArea>
    <c:legend>
      <c:legendPos val="b"/>
      <c:layout>
        <c:manualLayout>
          <c:xMode val="edge"/>
          <c:yMode val="edge"/>
          <c:x val="6.1131976101671502E-2"/>
          <c:y val="0.66625729619618479"/>
          <c:w val="0.87773604779665693"/>
          <c:h val="0.29642927096799476"/>
        </c:manualLayout>
      </c:layout>
      <c:txPr>
        <a:bodyPr/>
        <a:lstStyle/>
        <a:p>
          <a:pPr>
            <a:defRPr b="1" i="0" baseline="0"/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0"/>
  <c:pivotSource>
    <c:name>[CustomerOrdersDashboard-01 (1).xlsx]CUsTOMER SALES PT!PivotTable1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ln>
            <a:solidFill>
              <a:schemeClr val="tx1"/>
            </a:solidFill>
          </a:ln>
        </c:spPr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'CUsTOMER SALES PT'!$B$7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strRef>
              <c:f>'CUsTOMER SALES PT'!$A$8:$A$22</c:f>
              <c:strCache>
                <c:ptCount val="14"/>
                <c:pt idx="0">
                  <c:v>White Clover Markets</c:v>
                </c:pt>
                <c:pt idx="1">
                  <c:v>Trail's Head Gourmet Provisioners</c:v>
                </c:pt>
                <c:pt idx="2">
                  <c:v>The Cracker Box</c:v>
                </c:pt>
                <c:pt idx="3">
                  <c:v>The Big Cheese</c:v>
                </c:pt>
                <c:pt idx="4">
                  <c:v>Split Rail Beer &amp; Ale</c:v>
                </c:pt>
                <c:pt idx="5">
                  <c:v>Save-a-lot Markets</c:v>
                </c:pt>
                <c:pt idx="6">
                  <c:v>Rattlesnake Canyon Grocery</c:v>
                </c:pt>
                <c:pt idx="7">
                  <c:v>Princesa Isabel Vinhos</c:v>
                </c:pt>
                <c:pt idx="8">
                  <c:v>Old World Delicatessen</c:v>
                </c:pt>
                <c:pt idx="9">
                  <c:v>Lonesome Pine Restaurant</c:v>
                </c:pt>
                <c:pt idx="10">
                  <c:v>Let's Stop N Shop</c:v>
                </c:pt>
                <c:pt idx="11">
                  <c:v>Lazy K Kountry Store</c:v>
                </c:pt>
                <c:pt idx="12">
                  <c:v>Hungry Coyote Import Store</c:v>
                </c:pt>
                <c:pt idx="13">
                  <c:v>Great Lakes Food Market</c:v>
                </c:pt>
              </c:strCache>
            </c:strRef>
          </c:cat>
          <c:val>
            <c:numRef>
              <c:f>'CUsTOMER SALES PT'!$B$8:$B$22</c:f>
              <c:numCache>
                <c:formatCode>General</c:formatCode>
                <c:ptCount val="14"/>
                <c:pt idx="0">
                  <c:v>29073.45</c:v>
                </c:pt>
                <c:pt idx="1">
                  <c:v>1571.2</c:v>
                </c:pt>
                <c:pt idx="2">
                  <c:v>1947.24</c:v>
                </c:pt>
                <c:pt idx="3">
                  <c:v>3361</c:v>
                </c:pt>
                <c:pt idx="4">
                  <c:v>12489.7</c:v>
                </c:pt>
                <c:pt idx="5">
                  <c:v>115673.38999999997</c:v>
                </c:pt>
                <c:pt idx="6">
                  <c:v>52245.9</c:v>
                </c:pt>
                <c:pt idx="7">
                  <c:v>1660</c:v>
                </c:pt>
                <c:pt idx="8">
                  <c:v>14665.15</c:v>
                </c:pt>
                <c:pt idx="9">
                  <c:v>4258.6000000000004</c:v>
                </c:pt>
                <c:pt idx="10">
                  <c:v>3490.02</c:v>
                </c:pt>
                <c:pt idx="11">
                  <c:v>357</c:v>
                </c:pt>
                <c:pt idx="12">
                  <c:v>3063.2</c:v>
                </c:pt>
                <c:pt idx="13">
                  <c:v>19711.13</c:v>
                </c:pt>
              </c:numCache>
            </c:numRef>
          </c:val>
        </c:ser>
        <c:axId val="100030720"/>
        <c:axId val="100036608"/>
      </c:barChart>
      <c:catAx>
        <c:axId val="100030720"/>
        <c:scaling>
          <c:orientation val="minMax"/>
        </c:scaling>
        <c:axPos val="l"/>
        <c:tickLblPos val="nextTo"/>
        <c:txPr>
          <a:bodyPr/>
          <a:lstStyle/>
          <a:p>
            <a:pPr>
              <a:defRPr b="1" i="0" baseline="0"/>
            </a:pPr>
            <a:endParaRPr lang="en-US"/>
          </a:p>
        </c:txPr>
        <c:crossAx val="100036608"/>
        <c:crosses val="autoZero"/>
        <c:auto val="1"/>
        <c:lblAlgn val="ctr"/>
        <c:lblOffset val="100"/>
      </c:catAx>
      <c:valAx>
        <c:axId val="100036608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 b="1" i="0" baseline="0"/>
            </a:pPr>
            <a:endParaRPr lang="en-US"/>
          </a:p>
        </c:txPr>
        <c:crossAx val="100030720"/>
        <c:crosses val="autoZero"/>
        <c:crossBetween val="between"/>
      </c:valAx>
      <c:spPr>
        <a:noFill/>
      </c:spPr>
    </c:plotArea>
    <c:plotVisOnly val="1"/>
  </c:chart>
  <c:spPr>
    <a:noFill/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[CustomerOrdersDashboard-01 (1).xlsx]SHIPPING PT!PivotTable3</c:name>
    <c:fmtId val="5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ln>
            <a:solidFill>
              <a:schemeClr val="tx1"/>
            </a:solidFill>
          </a:ln>
        </c:spPr>
        <c:marker>
          <c:symbol val="none"/>
        </c:marker>
      </c:pivotFmt>
      <c:pivotFmt>
        <c:idx val="3"/>
      </c:pivotFmt>
    </c:pivotFmts>
    <c:plotArea>
      <c:layout/>
      <c:doughnutChart>
        <c:varyColors val="1"/>
        <c:ser>
          <c:idx val="0"/>
          <c:order val="0"/>
          <c:tx>
            <c:strRef>
              <c:f>'SHIPPING PT'!$B$14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strRef>
              <c:f>'SHIPPING PT'!$A$15:$A$17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'SHIPPING PT'!$B$15:$B$17</c:f>
              <c:numCache>
                <c:formatCode>General</c:formatCode>
                <c:ptCount val="2"/>
                <c:pt idx="0">
                  <c:v>115</c:v>
                </c:pt>
                <c:pt idx="1">
                  <c:v>7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spPr>
        <a:noFill/>
        <a:ln>
          <a:noFill/>
        </a:ln>
      </c:spPr>
    </c:legend>
    <c:plotVisOnly val="1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wmf"/><Relationship Id="rId5" Type="http://schemas.openxmlformats.org/officeDocument/2006/relationships/image" Target="../media/image3.wmf"/><Relationship Id="rId4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2</xdr:row>
      <xdr:rowOff>167640</xdr:rowOff>
    </xdr:from>
    <xdr:to>
      <xdr:col>12</xdr:col>
      <xdr:colOff>53340</xdr:colOff>
      <xdr:row>12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129540</xdr:colOff>
      <xdr:row>14</xdr:row>
      <xdr:rowOff>38100</xdr:rowOff>
    </xdr:from>
    <xdr:to>
      <xdr:col>7</xdr:col>
      <xdr:colOff>403860</xdr:colOff>
      <xdr:row>25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586740</xdr:colOff>
      <xdr:row>2</xdr:row>
      <xdr:rowOff>121920</xdr:rowOff>
    </xdr:from>
    <xdr:to>
      <xdr:col>21</xdr:col>
      <xdr:colOff>198120</xdr:colOff>
      <xdr:row>25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480060</xdr:colOff>
      <xdr:row>2</xdr:row>
      <xdr:rowOff>175260</xdr:rowOff>
    </xdr:from>
    <xdr:to>
      <xdr:col>21</xdr:col>
      <xdr:colOff>144780</xdr:colOff>
      <xdr:row>4</xdr:row>
      <xdr:rowOff>83820</xdr:rowOff>
    </xdr:to>
    <xdr:pic>
      <xdr:nvPicPr>
        <xdr:cNvPr id="1025" name="Picture 1" descr="C:\Program Files (x86)\Microsoft Office\MEDIA\CAGCAT10\j0222015.wmf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466320" y="815340"/>
          <a:ext cx="274320" cy="27432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22860</xdr:colOff>
      <xdr:row>1</xdr:row>
      <xdr:rowOff>68580</xdr:rowOff>
    </xdr:from>
    <xdr:to>
      <xdr:col>11</xdr:col>
      <xdr:colOff>91440</xdr:colOff>
      <xdr:row>1</xdr:row>
      <xdr:rowOff>464820</xdr:rowOff>
    </xdr:to>
    <xdr:pic>
      <xdr:nvPicPr>
        <xdr:cNvPr id="1026" name="Picture 2" descr="C:\Program Files (x86)\Microsoft Office\MEDIA\CAGCAT10\j0335112.wmf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118860" y="205740"/>
          <a:ext cx="678180" cy="39624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510540</xdr:colOff>
      <xdr:row>1</xdr:row>
      <xdr:rowOff>68580</xdr:rowOff>
    </xdr:from>
    <xdr:to>
      <xdr:col>4</xdr:col>
      <xdr:colOff>342900</xdr:colOff>
      <xdr:row>2</xdr:row>
      <xdr:rowOff>11365</xdr:rowOff>
    </xdr:to>
    <xdr:pic>
      <xdr:nvPicPr>
        <xdr:cNvPr id="1027" name="Picture 3" descr="C:\Program Files (x86)\Microsoft Office\MEDIA\CAGCAT10\j0157763.wmf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39340" y="205740"/>
          <a:ext cx="441960" cy="445705"/>
        </a:xfrm>
        <a:prstGeom prst="rect">
          <a:avLst/>
        </a:prstGeom>
        <a:noFill/>
      </xdr:spPr>
    </xdr:pic>
    <xdr:clientData/>
  </xdr:twoCellAnchor>
  <xdr:twoCellAnchor>
    <xdr:from>
      <xdr:col>8</xdr:col>
      <xdr:colOff>541020</xdr:colOff>
      <xdr:row>13</xdr:row>
      <xdr:rowOff>175260</xdr:rowOff>
    </xdr:from>
    <xdr:to>
      <xdr:col>15</xdr:col>
      <xdr:colOff>0</xdr:colOff>
      <xdr:row>28</xdr:row>
      <xdr:rowOff>15240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mirkulkarni02@outlook.com" refreshedDate="45830.023338078703" createdVersion="3" refreshedVersion="3" minRefreshableVersion="3" recordCount="122">
  <cacheSource type="worksheet">
    <worksheetSource name="CustomerOrders"/>
  </cacheSource>
  <cacheFields count="17">
    <cacheField name="Customer ID" numFmtId="0">
      <sharedItems count="14">
        <s v="GREAL"/>
        <s v="HUNGC"/>
        <s v="LAZYK"/>
        <s v="LETSS"/>
        <s v="LONEP"/>
        <s v="OLDWO"/>
        <s v="PRINI"/>
        <s v="RATTC"/>
        <s v="SAVEA"/>
        <s v="SPLIR"/>
        <s v="THEBI"/>
        <s v="THECR"/>
        <s v="TRAIH"/>
        <s v="WHITC"/>
      </sharedItems>
    </cacheField>
    <cacheField name="Company Name" numFmtId="0">
      <sharedItems count="14">
        <s v="Great Lakes Food Market"/>
        <s v="Hungry Coyote Import Store"/>
        <s v="Lazy K Kountry Store"/>
        <s v="Let's Stop N Shop"/>
        <s v="Lonesome Pine Restaurant"/>
        <s v="Old World Delicatessen"/>
        <s v="Princesa Isabel Vinhos"/>
        <s v="Rattlesnake Canyon Grocery"/>
        <s v="Save-a-lot Markets"/>
        <s v="Split Rail Beer &amp; Ale"/>
        <s v="The Big Cheese"/>
        <s v="The Cracker Box"/>
        <s v="Trail's Head Gourmet Provisioners"/>
        <s v="White Clover Markets"/>
      </sharedItems>
    </cacheField>
    <cacheField name="Order Date" numFmtId="164">
      <sharedItems containsSemiMixedTypes="0" containsNonDate="0" containsDate="1" containsString="0" minDate="1996-07-22T00:00:00" maxDate="1998-05-07T00:00:00" count="109">
        <d v="1997-05-06T00:00:00"/>
        <d v="1997-07-04T00:00:00"/>
        <d v="1997-07-31T00:00:00"/>
        <d v="1997-09-04T00:00:00"/>
        <d v="1997-09-25T00:00:00"/>
        <d v="1998-01-06T00:00:00"/>
        <d v="1998-03-09T00:00:00"/>
        <d v="1998-04-07T00:00:00"/>
        <d v="1998-04-22T00:00:00"/>
        <d v="1998-04-30T00:00:00"/>
        <d v="1996-12-06T00:00:00"/>
        <d v="1996-12-25T00:00:00"/>
        <d v="1997-01-15T00:00:00"/>
        <d v="1997-07-16T00:00:00"/>
        <d v="1997-09-08T00:00:00"/>
        <d v="1997-03-21T00:00:00"/>
        <d v="1997-05-22T00:00:00"/>
        <d v="1997-06-25T00:00:00"/>
        <d v="1997-10-27T00:00:00"/>
        <d v="1997-11-10T00:00:00"/>
        <d v="1998-02-12T00:00:00"/>
        <d v="1996-09-17T00:00:00"/>
        <d v="1996-09-30T00:00:00"/>
        <d v="1997-05-21T00:00:00"/>
        <d v="1997-09-09T00:00:00"/>
        <d v="1997-09-11T00:00:00"/>
        <d v="1998-02-03T00:00:00"/>
        <d v="1998-04-13T00:00:00"/>
        <d v="1996-09-13T00:00:00"/>
        <d v="1996-10-25T00:00:00"/>
        <d v="1997-02-10T00:00:00"/>
        <d v="1997-07-09T00:00:00"/>
        <d v="1997-09-24T00:00:00"/>
        <d v="1997-10-16T00:00:00"/>
        <d v="1998-01-27T00:00:00"/>
        <d v="1998-03-20T00:00:00"/>
        <d v="1998-04-20T00:00:00"/>
        <d v="1998-01-01T00:00:00"/>
        <d v="1996-07-22T00:00:00"/>
        <d v="1996-08-02T00:00:00"/>
        <d v="1996-08-30T00:00:00"/>
        <d v="1996-09-25T00:00:00"/>
        <d v="1996-09-27T00:00:00"/>
        <d v="1996-11-05T00:00:00"/>
        <d v="1997-01-01T00:00:00"/>
        <d v="1997-03-19T00:00:00"/>
        <d v="1997-06-10T00:00:00"/>
        <d v="1997-06-16T00:00:00"/>
        <d v="1997-07-14T00:00:00"/>
        <d v="1997-12-02T00:00:00"/>
        <d v="1998-01-07T00:00:00"/>
        <d v="1998-01-26T00:00:00"/>
        <d v="1998-02-16T00:00:00"/>
        <d v="1998-03-31T00:00:00"/>
        <d v="1998-04-06T00:00:00"/>
        <d v="1998-05-06T00:00:00"/>
        <d v="1996-10-08T00:00:00"/>
        <d v="1996-12-30T00:00:00"/>
        <d v="1997-02-20T00:00:00"/>
        <d v="1997-04-18T00:00:00"/>
        <d v="1997-06-02T00:00:00"/>
        <d v="1997-07-18T00:00:00"/>
        <d v="1997-07-22T00:00:00"/>
        <d v="1997-07-28T00:00:00"/>
        <d v="1997-08-11T00:00:00"/>
        <d v="1997-09-23T00:00:00"/>
        <d v="1997-10-10T00:00:00"/>
        <d v="1997-10-21T00:00:00"/>
        <d v="1997-10-22T00:00:00"/>
        <d v="1997-10-29T00:00:00"/>
        <d v="1997-11-20T00:00:00"/>
        <d v="1997-11-27T00:00:00"/>
        <d v="1998-01-05T00:00:00"/>
        <d v="1998-01-22T00:00:00"/>
        <d v="1998-02-11T00:00:00"/>
        <d v="1998-02-18T00:00:00"/>
        <d v="1998-03-11T00:00:00"/>
        <d v="1998-03-27T00:00:00"/>
        <d v="1998-03-30T00:00:00"/>
        <d v="1998-04-17T00:00:00"/>
        <d v="1998-05-01T00:00:00"/>
        <d v="1996-08-01T00:00:00"/>
        <d v="1996-10-15T00:00:00"/>
        <d v="1996-11-08T00:00:00"/>
        <d v="1996-12-02T00:00:00"/>
        <d v="1996-12-17T00:00:00"/>
        <d v="1997-01-31T00:00:00"/>
        <d v="1998-01-08T00:00:00"/>
        <d v="1998-03-25T00:00:00"/>
        <d v="1996-09-20T00:00:00"/>
        <d v="1997-10-17T00:00:00"/>
        <d v="1997-12-30T00:00:00"/>
        <d v="1998-04-01T00:00:00"/>
        <d v="1997-08-07T00:00:00"/>
        <d v="1997-12-12T00:00:00"/>
        <d v="1997-06-19T00:00:00"/>
        <d v="1997-06-23T00:00:00"/>
        <d v="1996-07-31T00:00:00"/>
        <d v="1996-11-01T00:00:00"/>
        <d v="1997-03-10T00:00:00"/>
        <d v="1997-03-24T00:00:00"/>
        <d v="1997-04-11T00:00:00"/>
        <d v="1997-07-11T00:00:00"/>
        <d v="1997-10-06T00:00:00"/>
        <d v="1997-10-08T00:00:00"/>
        <d v="1997-10-30T00:00:00"/>
        <d v="1997-11-13T00:00:00"/>
        <d v="1998-01-30T00:00:00"/>
        <d v="1998-02-24T00:00:00"/>
      </sharedItems>
      <fieldGroup par="16" base="2">
        <rangePr groupBy="months" startDate="1996-07-22T00:00:00" endDate="1998-05-07T00:00:00"/>
        <groupItems count="14">
          <s v="&lt;22-07-199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5-1998"/>
        </groupItems>
      </fieldGroup>
    </cacheField>
    <cacheField name="Required Date" numFmtId="164">
      <sharedItems containsSemiMixedTypes="0" containsNonDate="0" containsDate="1" containsString="0" minDate="1996-08-14T00:00:00" maxDate="1998-06-12T00:00:00"/>
    </cacheField>
    <cacheField name="Shipped Date" numFmtId="0">
      <sharedItems containsNonDate="0" containsDate="1" containsString="0" containsBlank="1" minDate="1996-07-25T00:00:00" maxDate="1998-05-05T00:00:00" count="103">
        <d v="1997-05-09T00:00:00"/>
        <d v="1997-07-14T00:00:00"/>
        <d v="1997-08-04T00:00:00"/>
        <d v="1997-08-05T00:00:00"/>
        <d v="1997-09-10T00:00:00"/>
        <d v="1997-09-30T00:00:00"/>
        <d v="1998-02-04T00:00:00"/>
        <d v="1998-03-18T00:00:00"/>
        <d v="1998-04-15T00:00:00"/>
        <m/>
        <d v="1996-12-09T00:00:00"/>
        <d v="1997-01-03T00:00:00"/>
        <d v="1997-01-24T00:00:00"/>
        <d v="1997-07-21T00:00:00"/>
        <d v="1997-10-15T00:00:00"/>
        <d v="1997-04-10T00:00:00"/>
        <d v="1997-06-26T00:00:00"/>
        <d v="1997-07-04T00:00:00"/>
        <d v="1997-11-05T00:00:00"/>
        <d v="1997-11-21T00:00:00"/>
        <d v="1998-02-13T00:00:00"/>
        <d v="1996-09-25T00:00:00"/>
        <d v="1996-10-10T00:00:00"/>
        <d v="1997-05-30T00:00:00"/>
        <d v="1997-09-18T00:00:00"/>
        <d v="1997-09-17T00:00:00"/>
        <d v="1998-02-11T00:00:00"/>
        <d v="1998-02-20T00:00:00"/>
        <d v="1998-04-16T00:00:00"/>
        <d v="1996-10-09T00:00:00"/>
        <d v="1996-10-29T00:00:00"/>
        <d v="1997-03-14T00:00:00"/>
        <d v="1997-07-16T00:00:00"/>
        <d v="1997-09-26T00:00:00"/>
        <d v="1997-10-21T00:00:00"/>
        <d v="1998-03-30T00:00:00"/>
        <d v="1998-04-27T00:00:00"/>
        <d v="1998-01-09T00:00:00"/>
        <d v="1996-07-25T00:00:00"/>
        <d v="1996-08-06T00:00:00"/>
        <d v="1996-09-05T00:00:00"/>
        <d v="1996-10-04T00:00:00"/>
        <d v="1996-10-08T00:00:00"/>
        <d v="1996-11-08T00:00:00"/>
        <d v="1997-01-10T00:00:00"/>
        <d v="1997-03-21T00:00:00"/>
        <d v="1997-06-16T00:00:00"/>
        <d v="1997-07-11T00:00:00"/>
        <d v="1997-07-18T00:00:00"/>
        <d v="1997-12-08T00:00:00"/>
        <d v="1998-01-13T00:00:00"/>
        <d v="1998-01-30T00:00:00"/>
        <d v="1998-02-23T00:00:00"/>
        <d v="1998-04-10T00:00:00"/>
        <d v="1998-04-14T00:00:00"/>
        <d v="1997-01-09T00:00:00"/>
        <d v="1997-02-28T00:00:00"/>
        <d v="1997-02-26T00:00:00"/>
        <d v="1997-04-28T00:00:00"/>
        <d v="1997-06-04T00:00:00"/>
        <d v="1997-08-08T00:00:00"/>
        <d v="1997-07-25T00:00:00"/>
        <d v="1997-08-01T00:00:00"/>
        <d v="1997-08-21T00:00:00"/>
        <d v="1997-09-15T00:00:00"/>
        <d v="1997-10-16T00:00:00"/>
        <d v="1997-10-29T00:00:00"/>
        <d v="1997-10-24T00:00:00"/>
        <d v="1997-10-27T00:00:00"/>
        <d v="1997-11-04T00:00:00"/>
        <d v="1997-11-28T00:00:00"/>
        <d v="1997-12-15T00:00:00"/>
        <d v="1998-01-14T00:00:00"/>
        <d v="1998-02-10T00:00:00"/>
        <d v="1998-03-20T00:00:00"/>
        <d v="1998-04-06T00:00:00"/>
        <d v="1998-04-03T00:00:00"/>
        <d v="1998-04-24T00:00:00"/>
        <d v="1998-05-04T00:00:00"/>
        <d v="1996-08-30T00:00:00"/>
        <d v="1996-10-23T00:00:00"/>
        <d v="1996-11-15T00:00:00"/>
        <d v="1996-12-23T00:00:00"/>
        <d v="1997-02-07T00:00:00"/>
        <d v="1997-12-02T00:00:00"/>
        <d v="1998-01-15T00:00:00"/>
        <d v="1996-09-27T00:00:00"/>
        <d v="1997-08-19T00:00:00"/>
        <d v="1997-12-26T00:00:00"/>
        <d v="1998-04-08T00:00:00"/>
        <d v="1997-06-30T00:00:00"/>
        <d v="1998-01-16T00:00:00"/>
        <d v="1996-08-09T00:00:00"/>
        <d v="1996-11-05T00:00:00"/>
        <d v="1997-04-25T00:00:00"/>
        <d v="1997-04-18T00:00:00"/>
        <d v="1997-08-12T00:00:00"/>
        <d v="1997-10-10T00:00:00"/>
        <d v="1997-10-14T00:00:00"/>
        <d v="1997-11-25T00:00:00"/>
        <d v="1998-02-17T00:00:00"/>
        <d v="1998-02-27T00:00:00"/>
        <d v="1998-04-23T00:00:00"/>
      </sharedItems>
    </cacheField>
    <cacheField name="Ship Via" numFmtId="0">
      <sharedItems count="3">
        <s v="United Package"/>
        <s v="Speedy Express"/>
        <s v="Federal Shipping"/>
      </sharedItems>
    </cacheField>
    <cacheField name="Freight" numFmtId="165">
      <sharedItems containsSemiMixedTypes="0" containsString="0" containsNumber="1" minValue="0.2" maxValue="830.75"/>
    </cacheField>
    <cacheField name="Ship Address" numFmtId="0">
      <sharedItems count="13">
        <s v="2732 Baker Blvd."/>
        <s v="City Center Plaza&#10;516 Main St."/>
        <s v="12 Orchestra Terrace"/>
        <s v="87 Polk St.&#10;Suite 5"/>
        <s v="89 Chiaroscuro Rd."/>
        <s v="2743 Bering St."/>
        <s v="2817 Milton Dr."/>
        <s v="187 Suffolk Ln."/>
        <s v="P.O. Box 555"/>
        <s v="89 Jefferson Way&#10;Suite 2"/>
        <s v="55 Grizzly Peak Rd."/>
        <s v="722 DaVinci Blvd."/>
        <s v="1029 - 12th Ave. S."/>
      </sharedItems>
    </cacheField>
    <cacheField name="Ship City" numFmtId="0">
      <sharedItems/>
    </cacheField>
    <cacheField name="Ship Region" numFmtId="0">
      <sharedItems count="8">
        <s v="Oregon"/>
        <s v="Washington"/>
        <s v="California"/>
        <s v="Alaska"/>
        <s v="New Mexico"/>
        <s v="Idaho"/>
        <s v="Wyoming"/>
        <s v="Montana"/>
      </sharedItems>
    </cacheField>
    <cacheField name="Ship Postal Code" numFmtId="0">
      <sharedItems/>
    </cacheField>
    <cacheField name="Ship Country" numFmtId="0">
      <sharedItems/>
    </cacheField>
    <cacheField name="Order Total" numFmtId="165">
      <sharedItems containsSemiMixedTypes="0" containsString="0" containsNumber="1" minValue="36" maxValue="16321.9" count="122">
        <n v="396.2"/>
        <n v="72"/>
        <n v="1650"/>
        <n v="5032"/>
        <n v="671.35"/>
        <n v="1327"/>
        <n v="8891"/>
        <n v="570"/>
        <n v="391.58"/>
        <n v="200"/>
        <n v="510"/>
        <n v="338"/>
        <n v="442"/>
        <n v="102.4"/>
        <n v="479.8"/>
        <n v="1701"/>
        <n v="147"/>
        <n v="210"/>
        <n v="317.75"/>
        <n v="1125.67"/>
        <n v="596"/>
        <n v="1450.6"/>
        <n v="424"/>
        <n v="288"/>
        <n v="417.2"/>
        <n v="125"/>
        <n v="1295"/>
        <n v="98.4"/>
        <n v="36"/>
        <n v="1575"/>
        <n v="4157"/>
        <n v="934.5"/>
        <n v="1755"/>
        <n v="565.5"/>
        <n v="1682.5"/>
        <n v="1893"/>
        <n v="2275.25"/>
        <n v="848"/>
        <n v="554.4"/>
        <n v="1660"/>
        <n v="624.79999999999995"/>
        <n v="1456"/>
        <n v="1887.6"/>
        <n v="2327"/>
        <n v="2835"/>
        <n v="1731.2"/>
        <n v="3868.6"/>
        <n v="10495.6"/>
        <n v="1299"/>
        <n v="977.5"/>
        <n v="2388.5"/>
        <n v="629.5"/>
        <n v="1140"/>
        <n v="2984"/>
        <n v="11380"/>
        <n v="3772"/>
        <n v="1075"/>
        <n v="1374.6"/>
        <n v="6155.9"/>
        <n v="3302.6"/>
        <n v="2736"/>
        <n v="5793.1"/>
        <n v="2096"/>
        <n v="4735.4399999999996"/>
        <n v="3680.5"/>
        <n v="1508"/>
        <n v="6475.4"/>
        <n v="6375"/>
        <n v="1264.5"/>
        <n v="4371.6000000000004"/>
        <n v="5256.5"/>
        <n v="2048"/>
        <n v="4451.7"/>
        <n v="2827.9"/>
        <n v="2941"/>
        <n v="1570"/>
        <n v="2196"/>
        <n v="3082"/>
        <n v="40"/>
        <n v="6164.9"/>
        <n v="988.4"/>
        <n v="2898"/>
        <n v="4769"/>
        <n v="796.5"/>
        <n v="1809.75"/>
        <n v="1902"/>
        <n v="2393.5"/>
        <n v="16321.9"/>
        <n v="4722.3"/>
        <n v="48"/>
        <n v="4819.3999999999996"/>
        <n v="141.6"/>
        <n v="2527.1999999999998"/>
        <n v="864"/>
        <n v="485"/>
        <n v="2487.5"/>
        <n v="678"/>
        <n v="439"/>
        <n v="336"/>
        <n v="180.4"/>
        <n v="2775"/>
        <n v="69.599999999999994"/>
        <n v="1393.24"/>
        <n v="228"/>
        <n v="326"/>
        <n v="764.3"/>
        <n v="569"/>
        <n v="237.9"/>
        <n v="676"/>
        <n v="2856"/>
        <n v="1125.5"/>
        <n v="704"/>
        <n v="1388.5"/>
        <n v="1476.1"/>
        <n v="2334"/>
        <n v="996"/>
        <n v="468.45"/>
        <n v="1770"/>
        <n v="3523.4"/>
        <n v="1924.25"/>
        <n v="8902.5"/>
        <n v="928.75"/>
      </sharedItems>
    </cacheField>
    <cacheField name="Late" numFmtId="0">
      <sharedItems count="2">
        <s v="NO"/>
        <s v="YES"/>
      </sharedItems>
    </cacheField>
    <cacheField name="SumOfQuantity" numFmtId="0">
      <sharedItems containsSemiMixedTypes="0" containsString="0" containsNumber="1" containsInteger="1" minValue="2" maxValue="330"/>
    </cacheField>
    <cacheField name="Quarters" numFmtId="0" databaseField="0">
      <fieldGroup base="2">
        <rangePr groupBy="quarters" startDate="1996-07-22T00:00:00" endDate="1998-05-07T00:00:00"/>
        <groupItems count="6">
          <s v="&lt;22-07-1996"/>
          <s v="Qtr1"/>
          <s v="Qtr2"/>
          <s v="Qtr3"/>
          <s v="Qtr4"/>
          <s v="&gt;07-05-1998"/>
        </groupItems>
      </fieldGroup>
    </cacheField>
    <cacheField name="Years" numFmtId="0" databaseField="0">
      <fieldGroup base="2">
        <rangePr groupBy="years" startDate="1996-07-22T00:00:00" endDate="1998-05-07T00:00:00"/>
        <groupItems count="5">
          <s v="&lt;22-07-1996"/>
          <s v="1996"/>
          <s v="1997"/>
          <s v="1998"/>
          <s v="&gt;07-05-199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x v="0"/>
    <x v="0"/>
    <x v="0"/>
    <d v="1997-05-20T00:00:00"/>
    <x v="0"/>
    <x v="0"/>
    <n v="3.35"/>
    <x v="0"/>
    <s v="Eugene"/>
    <x v="0"/>
    <s v="97403"/>
    <s v="USA"/>
    <x v="0"/>
    <x v="0"/>
    <n v="20"/>
  </r>
  <r>
    <x v="0"/>
    <x v="0"/>
    <x v="1"/>
    <d v="1997-08-01T00:00:00"/>
    <x v="1"/>
    <x v="0"/>
    <n v="4.42"/>
    <x v="0"/>
    <s v="Eugene"/>
    <x v="0"/>
    <s v="97403"/>
    <s v="USA"/>
    <x v="1"/>
    <x v="0"/>
    <n v="4"/>
  </r>
  <r>
    <x v="0"/>
    <x v="0"/>
    <x v="2"/>
    <d v="1997-08-28T00:00:00"/>
    <x v="2"/>
    <x v="0"/>
    <n v="18.53"/>
    <x v="0"/>
    <s v="Eugene"/>
    <x v="0"/>
    <s v="97403"/>
    <s v="USA"/>
    <x v="2"/>
    <x v="0"/>
    <n v="30"/>
  </r>
  <r>
    <x v="0"/>
    <x v="0"/>
    <x v="2"/>
    <d v="1997-08-28T00:00:00"/>
    <x v="3"/>
    <x v="0"/>
    <n v="116.53"/>
    <x v="0"/>
    <s v="Eugene"/>
    <x v="0"/>
    <s v="97403"/>
    <s v="USA"/>
    <x v="3"/>
    <x v="0"/>
    <n v="59"/>
  </r>
  <r>
    <x v="0"/>
    <x v="0"/>
    <x v="3"/>
    <d v="1997-10-02T00:00:00"/>
    <x v="4"/>
    <x v="1"/>
    <n v="57.15"/>
    <x v="0"/>
    <s v="Eugene"/>
    <x v="0"/>
    <s v="97403"/>
    <s v="USA"/>
    <x v="4"/>
    <x v="0"/>
    <n v="37"/>
  </r>
  <r>
    <x v="0"/>
    <x v="0"/>
    <x v="4"/>
    <d v="1997-10-23T00:00:00"/>
    <x v="5"/>
    <x v="2"/>
    <n v="76.13"/>
    <x v="0"/>
    <s v="Eugene"/>
    <x v="0"/>
    <s v="97403"/>
    <s v="USA"/>
    <x v="5"/>
    <x v="0"/>
    <n v="70"/>
  </r>
  <r>
    <x v="0"/>
    <x v="0"/>
    <x v="5"/>
    <d v="1998-02-03T00:00:00"/>
    <x v="6"/>
    <x v="0"/>
    <n v="719.78"/>
    <x v="0"/>
    <s v="Eugene"/>
    <x v="0"/>
    <s v="97403"/>
    <s v="USA"/>
    <x v="6"/>
    <x v="1"/>
    <n v="50"/>
  </r>
  <r>
    <x v="0"/>
    <x v="0"/>
    <x v="6"/>
    <d v="1998-04-06T00:00:00"/>
    <x v="7"/>
    <x v="0"/>
    <n v="33.68"/>
    <x v="0"/>
    <s v="Eugene"/>
    <x v="0"/>
    <s v="97403"/>
    <s v="USA"/>
    <x v="7"/>
    <x v="0"/>
    <n v="30"/>
  </r>
  <r>
    <x v="0"/>
    <x v="0"/>
    <x v="7"/>
    <d v="1998-05-05T00:00:00"/>
    <x v="8"/>
    <x v="0"/>
    <n v="25.19"/>
    <x v="0"/>
    <s v="Eugene"/>
    <x v="0"/>
    <s v="97403"/>
    <s v="USA"/>
    <x v="8"/>
    <x v="0"/>
    <n v="10"/>
  </r>
  <r>
    <x v="0"/>
    <x v="0"/>
    <x v="8"/>
    <d v="1998-05-20T00:00:00"/>
    <x v="9"/>
    <x v="2"/>
    <n v="18.84"/>
    <x v="0"/>
    <s v="Eugene"/>
    <x v="0"/>
    <s v="97403"/>
    <s v="USA"/>
    <x v="9"/>
    <x v="0"/>
    <n v="20"/>
  </r>
  <r>
    <x v="0"/>
    <x v="0"/>
    <x v="9"/>
    <d v="1998-06-11T00:00:00"/>
    <x v="9"/>
    <x v="2"/>
    <n v="14.01"/>
    <x v="0"/>
    <s v="Eugene"/>
    <x v="0"/>
    <s v="97403"/>
    <s v="USA"/>
    <x v="10"/>
    <x v="0"/>
    <n v="15"/>
  </r>
  <r>
    <x v="1"/>
    <x v="1"/>
    <x v="10"/>
    <d v="1997-01-03T00:00:00"/>
    <x v="10"/>
    <x v="0"/>
    <n v="20.12"/>
    <x v="1"/>
    <s v="Elgin"/>
    <x v="0"/>
    <s v="97827"/>
    <s v="USA"/>
    <x v="11"/>
    <x v="0"/>
    <n v="25"/>
  </r>
  <r>
    <x v="1"/>
    <x v="1"/>
    <x v="11"/>
    <d v="1997-01-22T00:00:00"/>
    <x v="11"/>
    <x v="2"/>
    <n v="30.34"/>
    <x v="1"/>
    <s v="Elgin"/>
    <x v="0"/>
    <s v="97827"/>
    <s v="USA"/>
    <x v="12"/>
    <x v="0"/>
    <n v="20"/>
  </r>
  <r>
    <x v="1"/>
    <x v="1"/>
    <x v="12"/>
    <d v="1997-02-12T00:00:00"/>
    <x v="12"/>
    <x v="1"/>
    <n v="0.2"/>
    <x v="1"/>
    <s v="Elgin"/>
    <x v="0"/>
    <s v="97827"/>
    <s v="USA"/>
    <x v="13"/>
    <x v="0"/>
    <n v="22"/>
  </r>
  <r>
    <x v="1"/>
    <x v="1"/>
    <x v="13"/>
    <d v="1997-08-13T00:00:00"/>
    <x v="13"/>
    <x v="1"/>
    <n v="45.13"/>
    <x v="1"/>
    <s v="Elgin"/>
    <x v="0"/>
    <s v="97827"/>
    <s v="USA"/>
    <x v="14"/>
    <x v="0"/>
    <n v="34"/>
  </r>
  <r>
    <x v="1"/>
    <x v="1"/>
    <x v="14"/>
    <d v="1997-10-06T00:00:00"/>
    <x v="14"/>
    <x v="1"/>
    <n v="111.29"/>
    <x v="1"/>
    <s v="Elgin"/>
    <x v="0"/>
    <s v="97827"/>
    <s v="USA"/>
    <x v="15"/>
    <x v="1"/>
    <n v="21"/>
  </r>
  <r>
    <x v="2"/>
    <x v="2"/>
    <x v="15"/>
    <d v="1997-04-18T00:00:00"/>
    <x v="15"/>
    <x v="2"/>
    <n v="7.48"/>
    <x v="2"/>
    <s v="Walla Walla"/>
    <x v="1"/>
    <s v="99362"/>
    <s v="USA"/>
    <x v="16"/>
    <x v="0"/>
    <n v="10"/>
  </r>
  <r>
    <x v="2"/>
    <x v="2"/>
    <x v="16"/>
    <d v="1997-06-19T00:00:00"/>
    <x v="16"/>
    <x v="0"/>
    <n v="11.92"/>
    <x v="2"/>
    <s v="Walla Walla"/>
    <x v="1"/>
    <s v="99362"/>
    <s v="USA"/>
    <x v="17"/>
    <x v="1"/>
    <n v="10"/>
  </r>
  <r>
    <x v="3"/>
    <x v="3"/>
    <x v="17"/>
    <d v="1997-07-23T00:00:00"/>
    <x v="17"/>
    <x v="0"/>
    <n v="13.73"/>
    <x v="3"/>
    <s v="San Francisco"/>
    <x v="2"/>
    <s v="94117"/>
    <s v="USA"/>
    <x v="18"/>
    <x v="0"/>
    <n v="31"/>
  </r>
  <r>
    <x v="3"/>
    <x v="3"/>
    <x v="18"/>
    <d v="1997-11-24T00:00:00"/>
    <x v="18"/>
    <x v="0"/>
    <n v="51.44"/>
    <x v="3"/>
    <s v="San Francisco"/>
    <x v="2"/>
    <s v="94117"/>
    <s v="USA"/>
    <x v="19"/>
    <x v="0"/>
    <n v="55"/>
  </r>
  <r>
    <x v="3"/>
    <x v="3"/>
    <x v="19"/>
    <d v="1997-12-08T00:00:00"/>
    <x v="19"/>
    <x v="0"/>
    <n v="45.97"/>
    <x v="3"/>
    <s v="San Francisco"/>
    <x v="2"/>
    <s v="94117"/>
    <s v="USA"/>
    <x v="20"/>
    <x v="0"/>
    <n v="22"/>
  </r>
  <r>
    <x v="3"/>
    <x v="3"/>
    <x v="20"/>
    <d v="1998-03-12T00:00:00"/>
    <x v="20"/>
    <x v="0"/>
    <n v="90.97"/>
    <x v="3"/>
    <s v="San Francisco"/>
    <x v="2"/>
    <s v="94117"/>
    <s v="USA"/>
    <x v="21"/>
    <x v="0"/>
    <n v="73"/>
  </r>
  <r>
    <x v="4"/>
    <x v="4"/>
    <x v="21"/>
    <d v="1996-10-15T00:00:00"/>
    <x v="21"/>
    <x v="0"/>
    <n v="0.56000000000000005"/>
    <x v="4"/>
    <s v="Portland"/>
    <x v="0"/>
    <s v="97219"/>
    <s v="USA"/>
    <x v="22"/>
    <x v="0"/>
    <n v="13"/>
  </r>
  <r>
    <x v="4"/>
    <x v="4"/>
    <x v="22"/>
    <d v="1996-10-28T00:00:00"/>
    <x v="22"/>
    <x v="1"/>
    <n v="12.69"/>
    <x v="4"/>
    <s v="Portland"/>
    <x v="0"/>
    <s v="97219"/>
    <s v="USA"/>
    <x v="23"/>
    <x v="0"/>
    <n v="20"/>
  </r>
  <r>
    <x v="4"/>
    <x v="4"/>
    <x v="23"/>
    <d v="1997-06-18T00:00:00"/>
    <x v="23"/>
    <x v="1"/>
    <n v="24.91"/>
    <x v="4"/>
    <s v="Portland"/>
    <x v="0"/>
    <s v="97219"/>
    <s v="USA"/>
    <x v="24"/>
    <x v="0"/>
    <n v="14"/>
  </r>
  <r>
    <x v="4"/>
    <x v="4"/>
    <x v="24"/>
    <d v="1997-10-07T00:00:00"/>
    <x v="24"/>
    <x v="0"/>
    <n v="1.28"/>
    <x v="4"/>
    <s v="Portland"/>
    <x v="0"/>
    <s v="97219"/>
    <s v="USA"/>
    <x v="25"/>
    <x v="0"/>
    <n v="10"/>
  </r>
  <r>
    <x v="4"/>
    <x v="4"/>
    <x v="25"/>
    <d v="1997-10-09T00:00:00"/>
    <x v="25"/>
    <x v="0"/>
    <n v="26.31"/>
    <x v="4"/>
    <s v="Portland"/>
    <x v="0"/>
    <s v="97219"/>
    <s v="USA"/>
    <x v="26"/>
    <x v="0"/>
    <n v="31"/>
  </r>
  <r>
    <x v="4"/>
    <x v="4"/>
    <x v="26"/>
    <d v="1998-03-17T00:00:00"/>
    <x v="26"/>
    <x v="1"/>
    <n v="1.93"/>
    <x v="4"/>
    <s v="Portland"/>
    <x v="0"/>
    <s v="97219"/>
    <s v="USA"/>
    <x v="27"/>
    <x v="0"/>
    <n v="3"/>
  </r>
  <r>
    <x v="4"/>
    <x v="4"/>
    <x v="20"/>
    <d v="1998-03-12T00:00:00"/>
    <x v="27"/>
    <x v="2"/>
    <n v="0.53"/>
    <x v="4"/>
    <s v="Portland"/>
    <x v="0"/>
    <s v="97219"/>
    <s v="USA"/>
    <x v="28"/>
    <x v="0"/>
    <n v="8"/>
  </r>
  <r>
    <x v="4"/>
    <x v="4"/>
    <x v="27"/>
    <d v="1998-05-11T00:00:00"/>
    <x v="28"/>
    <x v="0"/>
    <n v="11.65"/>
    <x v="4"/>
    <s v="Portland"/>
    <x v="0"/>
    <s v="97219"/>
    <s v="USA"/>
    <x v="29"/>
    <x v="0"/>
    <n v="35"/>
  </r>
  <r>
    <x v="5"/>
    <x v="5"/>
    <x v="28"/>
    <d v="1996-10-11T00:00:00"/>
    <x v="29"/>
    <x v="2"/>
    <n v="257.62"/>
    <x v="5"/>
    <s v="Anchorage"/>
    <x v="3"/>
    <s v="99508"/>
    <s v="USA"/>
    <x v="30"/>
    <x v="0"/>
    <n v="80"/>
  </r>
  <r>
    <x v="5"/>
    <x v="5"/>
    <x v="29"/>
    <d v="1996-11-22T00:00:00"/>
    <x v="30"/>
    <x v="2"/>
    <n v="84.21"/>
    <x v="5"/>
    <s v="Anchorage"/>
    <x v="3"/>
    <s v="99508"/>
    <s v="USA"/>
    <x v="31"/>
    <x v="0"/>
    <n v="35"/>
  </r>
  <r>
    <x v="5"/>
    <x v="5"/>
    <x v="30"/>
    <d v="1997-03-24T00:00:00"/>
    <x v="31"/>
    <x v="0"/>
    <n v="73.02"/>
    <x v="5"/>
    <s v="Anchorage"/>
    <x v="3"/>
    <s v="99508"/>
    <s v="USA"/>
    <x v="32"/>
    <x v="0"/>
    <n v="50"/>
  </r>
  <r>
    <x v="5"/>
    <x v="5"/>
    <x v="31"/>
    <d v="1997-08-06T00:00:00"/>
    <x v="32"/>
    <x v="0"/>
    <n v="5.24"/>
    <x v="5"/>
    <s v="Anchorage"/>
    <x v="3"/>
    <s v="99508"/>
    <s v="USA"/>
    <x v="33"/>
    <x v="0"/>
    <n v="54"/>
  </r>
  <r>
    <x v="5"/>
    <x v="5"/>
    <x v="32"/>
    <d v="1997-10-22T00:00:00"/>
    <x v="33"/>
    <x v="1"/>
    <n v="26.61"/>
    <x v="5"/>
    <s v="Anchorage"/>
    <x v="3"/>
    <s v="99508"/>
    <s v="USA"/>
    <x v="34"/>
    <x v="0"/>
    <n v="110"/>
  </r>
  <r>
    <x v="5"/>
    <x v="5"/>
    <x v="33"/>
    <d v="1997-11-13T00:00:00"/>
    <x v="34"/>
    <x v="2"/>
    <n v="135.63"/>
    <x v="5"/>
    <s v="Anchorage"/>
    <x v="3"/>
    <s v="99508"/>
    <s v="USA"/>
    <x v="35"/>
    <x v="0"/>
    <n v="52"/>
  </r>
  <r>
    <x v="5"/>
    <x v="5"/>
    <x v="34"/>
    <d v="1998-02-24T00:00:00"/>
    <x v="6"/>
    <x v="1"/>
    <n v="170.97"/>
    <x v="5"/>
    <s v="Anchorage"/>
    <x v="3"/>
    <s v="99508"/>
    <s v="USA"/>
    <x v="36"/>
    <x v="0"/>
    <n v="103"/>
  </r>
  <r>
    <x v="5"/>
    <x v="5"/>
    <x v="35"/>
    <d v="1998-04-17T00:00:00"/>
    <x v="35"/>
    <x v="2"/>
    <n v="144.38"/>
    <x v="5"/>
    <s v="Anchorage"/>
    <x v="3"/>
    <s v="99508"/>
    <s v="USA"/>
    <x v="37"/>
    <x v="0"/>
    <n v="16"/>
  </r>
  <r>
    <x v="5"/>
    <x v="5"/>
    <x v="36"/>
    <d v="1998-06-01T00:00:00"/>
    <x v="36"/>
    <x v="1"/>
    <n v="40.32"/>
    <x v="5"/>
    <s v="Anchorage"/>
    <x v="3"/>
    <s v="99508"/>
    <s v="USA"/>
    <x v="38"/>
    <x v="0"/>
    <n v="33"/>
  </r>
  <r>
    <x v="6"/>
    <x v="6"/>
    <x v="37"/>
    <d v="1998-01-29T00:00:00"/>
    <x v="37"/>
    <x v="2"/>
    <n v="45.53"/>
    <x v="5"/>
    <s v="Anchorage"/>
    <x v="3"/>
    <s v="99508"/>
    <s v="USA"/>
    <x v="39"/>
    <x v="0"/>
    <n v="70"/>
  </r>
  <r>
    <x v="7"/>
    <x v="7"/>
    <x v="38"/>
    <d v="1996-08-19T00:00:00"/>
    <x v="38"/>
    <x v="2"/>
    <n v="48.29"/>
    <x v="6"/>
    <s v="Albuquerque"/>
    <x v="4"/>
    <s v="87110"/>
    <s v="USA"/>
    <x v="40"/>
    <x v="0"/>
    <n v="29"/>
  </r>
  <r>
    <x v="7"/>
    <x v="7"/>
    <x v="39"/>
    <d v="1996-08-30T00:00:00"/>
    <x v="39"/>
    <x v="0"/>
    <n v="98.03"/>
    <x v="6"/>
    <s v="Albuquerque"/>
    <x v="4"/>
    <s v="87110"/>
    <s v="USA"/>
    <x v="41"/>
    <x v="0"/>
    <n v="70"/>
  </r>
  <r>
    <x v="7"/>
    <x v="7"/>
    <x v="40"/>
    <d v="1996-09-27T00:00:00"/>
    <x v="40"/>
    <x v="0"/>
    <n v="147.26"/>
    <x v="6"/>
    <s v="Albuquerque"/>
    <x v="4"/>
    <s v="87110"/>
    <s v="USA"/>
    <x v="42"/>
    <x v="0"/>
    <n v="75"/>
  </r>
  <r>
    <x v="7"/>
    <x v="7"/>
    <x v="41"/>
    <d v="1996-10-23T00:00:00"/>
    <x v="41"/>
    <x v="0"/>
    <n v="74.16"/>
    <x v="6"/>
    <s v="Albuquerque"/>
    <x v="4"/>
    <s v="87110"/>
    <s v="USA"/>
    <x v="43"/>
    <x v="0"/>
    <n v="95"/>
  </r>
  <r>
    <x v="7"/>
    <x v="7"/>
    <x v="42"/>
    <d v="1996-10-25T00:00:00"/>
    <x v="42"/>
    <x v="2"/>
    <n v="150.15"/>
    <x v="6"/>
    <s v="Albuquerque"/>
    <x v="4"/>
    <s v="87110"/>
    <s v="USA"/>
    <x v="44"/>
    <x v="0"/>
    <n v="80"/>
  </r>
  <r>
    <x v="7"/>
    <x v="7"/>
    <x v="43"/>
    <d v="1996-12-17T00:00:00"/>
    <x v="43"/>
    <x v="2"/>
    <n v="142.08000000000001"/>
    <x v="6"/>
    <s v="Albuquerque"/>
    <x v="4"/>
    <s v="87110"/>
    <s v="USA"/>
    <x v="45"/>
    <x v="0"/>
    <n v="56"/>
  </r>
  <r>
    <x v="7"/>
    <x v="7"/>
    <x v="44"/>
    <d v="1997-01-29T00:00:00"/>
    <x v="44"/>
    <x v="1"/>
    <n v="12.51"/>
    <x v="6"/>
    <s v="Albuquerque"/>
    <x v="4"/>
    <s v="87110"/>
    <s v="USA"/>
    <x v="46"/>
    <x v="0"/>
    <n v="168"/>
  </r>
  <r>
    <x v="7"/>
    <x v="7"/>
    <x v="45"/>
    <d v="1997-04-16T00:00:00"/>
    <x v="45"/>
    <x v="2"/>
    <n v="708.95"/>
    <x v="6"/>
    <s v="Albuquerque"/>
    <x v="4"/>
    <s v="87110"/>
    <s v="USA"/>
    <x v="47"/>
    <x v="0"/>
    <n v="148"/>
  </r>
  <r>
    <x v="7"/>
    <x v="7"/>
    <x v="46"/>
    <d v="1997-07-08T00:00:00"/>
    <x v="46"/>
    <x v="2"/>
    <n v="13.75"/>
    <x v="6"/>
    <s v="Albuquerque"/>
    <x v="4"/>
    <s v="87110"/>
    <s v="USA"/>
    <x v="48"/>
    <x v="0"/>
    <n v="47"/>
  </r>
  <r>
    <x v="7"/>
    <x v="7"/>
    <x v="47"/>
    <d v="1997-07-14T00:00:00"/>
    <x v="47"/>
    <x v="1"/>
    <n v="58.98"/>
    <x v="6"/>
    <s v="Albuquerque"/>
    <x v="4"/>
    <s v="87110"/>
    <s v="USA"/>
    <x v="49"/>
    <x v="0"/>
    <n v="65"/>
  </r>
  <r>
    <x v="7"/>
    <x v="7"/>
    <x v="48"/>
    <d v="1997-08-11T00:00:00"/>
    <x v="48"/>
    <x v="2"/>
    <n v="44.42"/>
    <x v="6"/>
    <s v="Albuquerque"/>
    <x v="4"/>
    <s v="87110"/>
    <s v="USA"/>
    <x v="50"/>
    <x v="0"/>
    <n v="59"/>
  </r>
  <r>
    <x v="7"/>
    <x v="7"/>
    <x v="49"/>
    <d v="1997-12-30T00:00:00"/>
    <x v="49"/>
    <x v="0"/>
    <n v="18.66"/>
    <x v="6"/>
    <s v="Albuquerque"/>
    <x v="4"/>
    <s v="87110"/>
    <s v="USA"/>
    <x v="51"/>
    <x v="0"/>
    <n v="53"/>
  </r>
  <r>
    <x v="7"/>
    <x v="7"/>
    <x v="50"/>
    <d v="1998-02-04T00:00:00"/>
    <x v="50"/>
    <x v="0"/>
    <n v="37.520000000000003"/>
    <x v="6"/>
    <s v="Albuquerque"/>
    <x v="4"/>
    <s v="87110"/>
    <s v="USA"/>
    <x v="52"/>
    <x v="0"/>
    <n v="30"/>
  </r>
  <r>
    <x v="7"/>
    <x v="7"/>
    <x v="51"/>
    <d v="1998-02-09T00:00:00"/>
    <x v="51"/>
    <x v="1"/>
    <n v="174.05"/>
    <x v="6"/>
    <s v="Albuquerque"/>
    <x v="4"/>
    <s v="87110"/>
    <s v="USA"/>
    <x v="53"/>
    <x v="0"/>
    <n v="71"/>
  </r>
  <r>
    <x v="7"/>
    <x v="7"/>
    <x v="52"/>
    <d v="1998-03-16T00:00:00"/>
    <x v="52"/>
    <x v="2"/>
    <n v="280.61"/>
    <x v="6"/>
    <s v="Albuquerque"/>
    <x v="4"/>
    <s v="87110"/>
    <s v="USA"/>
    <x v="54"/>
    <x v="0"/>
    <n v="80"/>
  </r>
  <r>
    <x v="7"/>
    <x v="7"/>
    <x v="53"/>
    <d v="1998-04-28T00:00:00"/>
    <x v="53"/>
    <x v="0"/>
    <n v="61.14"/>
    <x v="6"/>
    <s v="Albuquerque"/>
    <x v="4"/>
    <s v="87110"/>
    <s v="USA"/>
    <x v="55"/>
    <x v="0"/>
    <n v="100"/>
  </r>
  <r>
    <x v="7"/>
    <x v="7"/>
    <x v="54"/>
    <d v="1998-05-04T00:00:00"/>
    <x v="54"/>
    <x v="2"/>
    <n v="55.12"/>
    <x v="6"/>
    <s v="Albuquerque"/>
    <x v="4"/>
    <s v="87110"/>
    <s v="USA"/>
    <x v="56"/>
    <x v="0"/>
    <n v="85"/>
  </r>
  <r>
    <x v="7"/>
    <x v="7"/>
    <x v="55"/>
    <d v="1998-06-03T00:00:00"/>
    <x v="9"/>
    <x v="0"/>
    <n v="8.5299999999999994"/>
    <x v="6"/>
    <s v="Albuquerque"/>
    <x v="4"/>
    <s v="87110"/>
    <s v="USA"/>
    <x v="57"/>
    <x v="0"/>
    <n v="72"/>
  </r>
  <r>
    <x v="8"/>
    <x v="8"/>
    <x v="56"/>
    <d v="1996-11-05T00:00:00"/>
    <x v="22"/>
    <x v="1"/>
    <n v="214.27"/>
    <x v="7"/>
    <s v="Boise"/>
    <x v="5"/>
    <s v="83720"/>
    <s v="USA"/>
    <x v="58"/>
    <x v="0"/>
    <n v="241"/>
  </r>
  <r>
    <x v="8"/>
    <x v="8"/>
    <x v="11"/>
    <d v="1997-01-22T00:00:00"/>
    <x v="11"/>
    <x v="2"/>
    <n v="126.56"/>
    <x v="7"/>
    <s v="Boise"/>
    <x v="5"/>
    <s v="83720"/>
    <s v="USA"/>
    <x v="59"/>
    <x v="0"/>
    <n v="176"/>
  </r>
  <r>
    <x v="8"/>
    <x v="8"/>
    <x v="57"/>
    <d v="1997-01-27T00:00:00"/>
    <x v="55"/>
    <x v="2"/>
    <n v="89.16"/>
    <x v="7"/>
    <s v="Boise"/>
    <x v="5"/>
    <s v="83720"/>
    <s v="USA"/>
    <x v="60"/>
    <x v="0"/>
    <n v="150"/>
  </r>
  <r>
    <x v="8"/>
    <x v="8"/>
    <x v="30"/>
    <d v="1997-03-10T00:00:00"/>
    <x v="56"/>
    <x v="0"/>
    <n v="86.53"/>
    <x v="7"/>
    <s v="Boise"/>
    <x v="5"/>
    <s v="83720"/>
    <s v="USA"/>
    <x v="61"/>
    <x v="0"/>
    <n v="208"/>
  </r>
  <r>
    <x v="8"/>
    <x v="8"/>
    <x v="58"/>
    <d v="1997-03-20T00:00:00"/>
    <x v="57"/>
    <x v="1"/>
    <n v="140.26"/>
    <x v="7"/>
    <s v="Boise"/>
    <x v="5"/>
    <s v="83720"/>
    <s v="USA"/>
    <x v="62"/>
    <x v="0"/>
    <n v="115"/>
  </r>
  <r>
    <x v="8"/>
    <x v="8"/>
    <x v="59"/>
    <d v="1997-05-16T00:00:00"/>
    <x v="58"/>
    <x v="2"/>
    <n v="367.63"/>
    <x v="7"/>
    <s v="Boise"/>
    <x v="5"/>
    <s v="83720"/>
    <s v="USA"/>
    <x v="63"/>
    <x v="0"/>
    <n v="72"/>
  </r>
  <r>
    <x v="8"/>
    <x v="8"/>
    <x v="60"/>
    <d v="1997-06-30T00:00:00"/>
    <x v="59"/>
    <x v="2"/>
    <n v="252.49"/>
    <x v="7"/>
    <s v="Boise"/>
    <x v="5"/>
    <s v="83720"/>
    <s v="USA"/>
    <x v="64"/>
    <x v="0"/>
    <n v="143"/>
  </r>
  <r>
    <x v="8"/>
    <x v="8"/>
    <x v="61"/>
    <d v="1997-08-15T00:00:00"/>
    <x v="60"/>
    <x v="0"/>
    <n v="48.77"/>
    <x v="7"/>
    <s v="Boise"/>
    <x v="5"/>
    <s v="83720"/>
    <s v="USA"/>
    <x v="65"/>
    <x v="0"/>
    <n v="73"/>
  </r>
  <r>
    <x v="8"/>
    <x v="8"/>
    <x v="62"/>
    <d v="1997-08-19T00:00:00"/>
    <x v="61"/>
    <x v="1"/>
    <n v="200.24"/>
    <x v="7"/>
    <s v="Boise"/>
    <x v="5"/>
    <s v="83720"/>
    <s v="USA"/>
    <x v="66"/>
    <x v="0"/>
    <n v="213"/>
  </r>
  <r>
    <x v="8"/>
    <x v="8"/>
    <x v="63"/>
    <d v="1997-08-25T00:00:00"/>
    <x v="62"/>
    <x v="0"/>
    <n v="544.08000000000004"/>
    <x v="7"/>
    <s v="Boise"/>
    <x v="5"/>
    <s v="83720"/>
    <s v="USA"/>
    <x v="67"/>
    <x v="0"/>
    <n v="263"/>
  </r>
  <r>
    <x v="8"/>
    <x v="8"/>
    <x v="64"/>
    <d v="1997-09-22T00:00:00"/>
    <x v="63"/>
    <x v="2"/>
    <n v="107.46"/>
    <x v="7"/>
    <s v="Boise"/>
    <x v="5"/>
    <s v="83720"/>
    <s v="USA"/>
    <x v="68"/>
    <x v="0"/>
    <n v="50"/>
  </r>
  <r>
    <x v="8"/>
    <x v="8"/>
    <x v="3"/>
    <d v="1997-10-02T00:00:00"/>
    <x v="64"/>
    <x v="0"/>
    <n v="352.69"/>
    <x v="7"/>
    <s v="Boise"/>
    <x v="5"/>
    <s v="83720"/>
    <s v="USA"/>
    <x v="69"/>
    <x v="0"/>
    <n v="204"/>
  </r>
  <r>
    <x v="8"/>
    <x v="8"/>
    <x v="65"/>
    <d v="1997-10-21T00:00:00"/>
    <x v="65"/>
    <x v="2"/>
    <n v="388.98"/>
    <x v="7"/>
    <s v="Boise"/>
    <x v="5"/>
    <s v="83720"/>
    <s v="USA"/>
    <x v="70"/>
    <x v="0"/>
    <n v="280"/>
  </r>
  <r>
    <x v="8"/>
    <x v="8"/>
    <x v="66"/>
    <d v="1997-11-07T00:00:00"/>
    <x v="65"/>
    <x v="1"/>
    <n v="65.099999999999994"/>
    <x v="7"/>
    <s v="Boise"/>
    <x v="5"/>
    <s v="83720"/>
    <s v="USA"/>
    <x v="71"/>
    <x v="0"/>
    <n v="117"/>
  </r>
  <r>
    <x v="8"/>
    <x v="8"/>
    <x v="67"/>
    <d v="1997-12-02T00:00:00"/>
    <x v="66"/>
    <x v="0"/>
    <n v="52.41"/>
    <x v="7"/>
    <s v="Boise"/>
    <x v="5"/>
    <s v="83720"/>
    <s v="USA"/>
    <x v="72"/>
    <x v="0"/>
    <n v="174"/>
  </r>
  <r>
    <x v="8"/>
    <x v="8"/>
    <x v="68"/>
    <d v="1997-11-19T00:00:00"/>
    <x v="67"/>
    <x v="1"/>
    <n v="167.05"/>
    <x v="7"/>
    <s v="Boise"/>
    <x v="5"/>
    <s v="83720"/>
    <s v="USA"/>
    <x v="73"/>
    <x v="0"/>
    <n v="182"/>
  </r>
  <r>
    <x v="8"/>
    <x v="8"/>
    <x v="68"/>
    <d v="1997-11-19T00:00:00"/>
    <x v="68"/>
    <x v="2"/>
    <n v="24.49"/>
    <x v="7"/>
    <s v="Boise"/>
    <x v="5"/>
    <s v="83720"/>
    <s v="USA"/>
    <x v="74"/>
    <x v="0"/>
    <n v="137"/>
  </r>
  <r>
    <x v="8"/>
    <x v="8"/>
    <x v="69"/>
    <d v="1997-12-10T00:00:00"/>
    <x v="69"/>
    <x v="1"/>
    <n v="74.58"/>
    <x v="7"/>
    <s v="Boise"/>
    <x v="5"/>
    <s v="83720"/>
    <s v="USA"/>
    <x v="75"/>
    <x v="0"/>
    <n v="140"/>
  </r>
  <r>
    <x v="8"/>
    <x v="8"/>
    <x v="70"/>
    <d v="1997-12-18T00:00:00"/>
    <x v="70"/>
    <x v="1"/>
    <n v="232.55"/>
    <x v="7"/>
    <s v="Boise"/>
    <x v="5"/>
    <s v="83720"/>
    <s v="USA"/>
    <x v="76"/>
    <x v="0"/>
    <n v="112"/>
  </r>
  <r>
    <x v="8"/>
    <x v="8"/>
    <x v="71"/>
    <d v="1997-12-25T00:00:00"/>
    <x v="71"/>
    <x v="1"/>
    <n v="8.19"/>
    <x v="7"/>
    <s v="Boise"/>
    <x v="5"/>
    <s v="83720"/>
    <s v="USA"/>
    <x v="77"/>
    <x v="0"/>
    <n v="91"/>
  </r>
  <r>
    <x v="8"/>
    <x v="8"/>
    <x v="72"/>
    <d v="1998-02-02T00:00:00"/>
    <x v="72"/>
    <x v="2"/>
    <n v="14.62"/>
    <x v="7"/>
    <s v="Boise"/>
    <x v="5"/>
    <s v="83720"/>
    <s v="USA"/>
    <x v="78"/>
    <x v="0"/>
    <n v="16"/>
  </r>
  <r>
    <x v="8"/>
    <x v="8"/>
    <x v="73"/>
    <d v="1998-02-05T00:00:00"/>
    <x v="73"/>
    <x v="2"/>
    <n v="487.57"/>
    <x v="7"/>
    <s v="Boise"/>
    <x v="5"/>
    <s v="83720"/>
    <s v="USA"/>
    <x v="79"/>
    <x v="1"/>
    <n v="288"/>
  </r>
  <r>
    <x v="8"/>
    <x v="8"/>
    <x v="74"/>
    <d v="1998-03-11T00:00:00"/>
    <x v="27"/>
    <x v="2"/>
    <n v="23.1"/>
    <x v="7"/>
    <s v="Boise"/>
    <x v="5"/>
    <s v="83720"/>
    <s v="USA"/>
    <x v="80"/>
    <x v="0"/>
    <n v="77"/>
  </r>
  <r>
    <x v="8"/>
    <x v="8"/>
    <x v="75"/>
    <d v="1998-03-18T00:00:00"/>
    <x v="27"/>
    <x v="1"/>
    <n v="116.13"/>
    <x v="7"/>
    <s v="Boise"/>
    <x v="5"/>
    <s v="83720"/>
    <s v="USA"/>
    <x v="81"/>
    <x v="0"/>
    <n v="198"/>
  </r>
  <r>
    <x v="8"/>
    <x v="8"/>
    <x v="76"/>
    <d v="1998-04-08T00:00:00"/>
    <x v="74"/>
    <x v="0"/>
    <n v="400.81"/>
    <x v="7"/>
    <s v="Boise"/>
    <x v="5"/>
    <s v="83720"/>
    <s v="USA"/>
    <x v="82"/>
    <x v="0"/>
    <n v="204"/>
  </r>
  <r>
    <x v="8"/>
    <x v="8"/>
    <x v="77"/>
    <d v="1998-04-24T00:00:00"/>
    <x v="75"/>
    <x v="0"/>
    <n v="657.54"/>
    <x v="7"/>
    <s v="Boise"/>
    <x v="5"/>
    <s v="83720"/>
    <s v="USA"/>
    <x v="83"/>
    <x v="0"/>
    <n v="99"/>
  </r>
  <r>
    <x v="8"/>
    <x v="8"/>
    <x v="78"/>
    <d v="1998-04-27T00:00:00"/>
    <x v="76"/>
    <x v="2"/>
    <n v="211.22"/>
    <x v="7"/>
    <s v="Boise"/>
    <x v="5"/>
    <s v="83720"/>
    <s v="USA"/>
    <x v="84"/>
    <x v="0"/>
    <n v="115"/>
  </r>
  <r>
    <x v="8"/>
    <x v="8"/>
    <x v="54"/>
    <d v="1998-05-04T00:00:00"/>
    <x v="28"/>
    <x v="1"/>
    <n v="141.16"/>
    <x v="7"/>
    <s v="Boise"/>
    <x v="5"/>
    <s v="83720"/>
    <s v="USA"/>
    <x v="85"/>
    <x v="0"/>
    <n v="135"/>
  </r>
  <r>
    <x v="8"/>
    <x v="8"/>
    <x v="79"/>
    <d v="1998-05-15T00:00:00"/>
    <x v="77"/>
    <x v="0"/>
    <n v="227.22"/>
    <x v="7"/>
    <s v="Boise"/>
    <x v="5"/>
    <s v="83720"/>
    <s v="USA"/>
    <x v="86"/>
    <x v="0"/>
    <n v="182"/>
  </r>
  <r>
    <x v="8"/>
    <x v="8"/>
    <x v="79"/>
    <d v="1998-05-15T00:00:00"/>
    <x v="36"/>
    <x v="0"/>
    <n v="830.75"/>
    <x v="7"/>
    <s v="Boise"/>
    <x v="5"/>
    <s v="83720"/>
    <s v="USA"/>
    <x v="87"/>
    <x v="0"/>
    <n v="330"/>
  </r>
  <r>
    <x v="8"/>
    <x v="8"/>
    <x v="80"/>
    <d v="1998-05-29T00:00:00"/>
    <x v="78"/>
    <x v="1"/>
    <n v="30.09"/>
    <x v="7"/>
    <s v="Boise"/>
    <x v="5"/>
    <s v="83720"/>
    <s v="USA"/>
    <x v="88"/>
    <x v="0"/>
    <n v="173"/>
  </r>
  <r>
    <x v="9"/>
    <x v="9"/>
    <x v="81"/>
    <d v="1996-08-29T00:00:00"/>
    <x v="79"/>
    <x v="0"/>
    <n v="4.54"/>
    <x v="8"/>
    <s v="Lander"/>
    <x v="6"/>
    <s v="82520"/>
    <s v="USA"/>
    <x v="89"/>
    <x v="1"/>
    <n v="24"/>
  </r>
  <r>
    <x v="9"/>
    <x v="9"/>
    <x v="82"/>
    <d v="1996-11-26T00:00:00"/>
    <x v="80"/>
    <x v="0"/>
    <n v="191.67"/>
    <x v="8"/>
    <s v="Lander"/>
    <x v="6"/>
    <s v="82520"/>
    <s v="USA"/>
    <x v="90"/>
    <x v="0"/>
    <n v="50"/>
  </r>
  <r>
    <x v="9"/>
    <x v="9"/>
    <x v="83"/>
    <d v="1996-12-06T00:00:00"/>
    <x v="81"/>
    <x v="1"/>
    <n v="8.6300000000000008"/>
    <x v="8"/>
    <s v="Lander"/>
    <x v="6"/>
    <s v="82520"/>
    <s v="USA"/>
    <x v="91"/>
    <x v="0"/>
    <n v="24"/>
  </r>
  <r>
    <x v="9"/>
    <x v="9"/>
    <x v="84"/>
    <d v="1996-12-30T00:00:00"/>
    <x v="10"/>
    <x v="0"/>
    <n v="195.68"/>
    <x v="8"/>
    <s v="Lander"/>
    <x v="6"/>
    <s v="82520"/>
    <s v="USA"/>
    <x v="92"/>
    <x v="0"/>
    <n v="38"/>
  </r>
  <r>
    <x v="9"/>
    <x v="9"/>
    <x v="85"/>
    <d v="1997-01-14T00:00:00"/>
    <x v="82"/>
    <x v="0"/>
    <n v="30.96"/>
    <x v="8"/>
    <s v="Lander"/>
    <x v="6"/>
    <s v="82520"/>
    <s v="USA"/>
    <x v="93"/>
    <x v="0"/>
    <n v="38"/>
  </r>
  <r>
    <x v="9"/>
    <x v="9"/>
    <x v="86"/>
    <d v="1997-02-14T00:00:00"/>
    <x v="83"/>
    <x v="0"/>
    <n v="4.34"/>
    <x v="8"/>
    <s v="Lander"/>
    <x v="6"/>
    <s v="82520"/>
    <s v="USA"/>
    <x v="94"/>
    <x v="0"/>
    <n v="50"/>
  </r>
  <r>
    <x v="9"/>
    <x v="9"/>
    <x v="71"/>
    <d v="1997-12-25T00:00:00"/>
    <x v="84"/>
    <x v="0"/>
    <n v="73.209999999999994"/>
    <x v="8"/>
    <s v="Lander"/>
    <x v="6"/>
    <s v="82520"/>
    <s v="USA"/>
    <x v="95"/>
    <x v="0"/>
    <n v="67"/>
  </r>
  <r>
    <x v="9"/>
    <x v="9"/>
    <x v="87"/>
    <d v="1998-02-05T00:00:00"/>
    <x v="85"/>
    <x v="1"/>
    <n v="36.68"/>
    <x v="8"/>
    <s v="Lander"/>
    <x v="6"/>
    <s v="82520"/>
    <s v="USA"/>
    <x v="96"/>
    <x v="0"/>
    <n v="26"/>
  </r>
  <r>
    <x v="9"/>
    <x v="9"/>
    <x v="88"/>
    <d v="1998-04-08T00:00:00"/>
    <x v="76"/>
    <x v="2"/>
    <n v="12.96"/>
    <x v="8"/>
    <s v="Lander"/>
    <x v="6"/>
    <s v="82520"/>
    <s v="USA"/>
    <x v="97"/>
    <x v="0"/>
    <n v="10"/>
  </r>
  <r>
    <x v="10"/>
    <x v="10"/>
    <x v="89"/>
    <d v="1996-10-18T00:00:00"/>
    <x v="86"/>
    <x v="0"/>
    <n v="17.52"/>
    <x v="9"/>
    <s v="Portland"/>
    <x v="0"/>
    <s v="97201"/>
    <s v="USA"/>
    <x v="98"/>
    <x v="0"/>
    <n v="15"/>
  </r>
  <r>
    <x v="10"/>
    <x v="10"/>
    <x v="90"/>
    <d v="1997-11-28T00:00:00"/>
    <x v="18"/>
    <x v="0"/>
    <n v="2.96"/>
    <x v="9"/>
    <s v="Portland"/>
    <x v="0"/>
    <s v="97201"/>
    <s v="USA"/>
    <x v="99"/>
    <x v="0"/>
    <n v="9"/>
  </r>
  <r>
    <x v="10"/>
    <x v="10"/>
    <x v="91"/>
    <d v="1998-01-27T00:00:00"/>
    <x v="37"/>
    <x v="2"/>
    <n v="237.34"/>
    <x v="9"/>
    <s v="Portland"/>
    <x v="0"/>
    <s v="97201"/>
    <s v="USA"/>
    <x v="100"/>
    <x v="0"/>
    <n v="20"/>
  </r>
  <r>
    <x v="10"/>
    <x v="10"/>
    <x v="92"/>
    <d v="1998-04-29T00:00:00"/>
    <x v="76"/>
    <x v="2"/>
    <n v="4.2699999999999996"/>
    <x v="9"/>
    <s v="Portland"/>
    <x v="0"/>
    <s v="97201"/>
    <s v="USA"/>
    <x v="101"/>
    <x v="0"/>
    <n v="2"/>
  </r>
  <r>
    <x v="11"/>
    <x v="11"/>
    <x v="93"/>
    <d v="1997-09-04T00:00:00"/>
    <x v="87"/>
    <x v="0"/>
    <n v="94.8"/>
    <x v="10"/>
    <s v="Butte"/>
    <x v="7"/>
    <s v="59801"/>
    <s v="USA"/>
    <x v="102"/>
    <x v="0"/>
    <n v="26"/>
  </r>
  <r>
    <x v="11"/>
    <x v="11"/>
    <x v="94"/>
    <d v="1998-01-09T00:00:00"/>
    <x v="88"/>
    <x v="1"/>
    <n v="20.25"/>
    <x v="10"/>
    <s v="Butte"/>
    <x v="7"/>
    <s v="59801"/>
    <s v="USA"/>
    <x v="103"/>
    <x v="0"/>
    <n v="9"/>
  </r>
  <r>
    <x v="11"/>
    <x v="11"/>
    <x v="54"/>
    <d v="1998-05-04T00:00:00"/>
    <x v="89"/>
    <x v="2"/>
    <n v="14.91"/>
    <x v="10"/>
    <s v="Butte"/>
    <x v="7"/>
    <s v="59801"/>
    <s v="USA"/>
    <x v="104"/>
    <x v="0"/>
    <n v="24"/>
  </r>
  <r>
    <x v="12"/>
    <x v="12"/>
    <x v="95"/>
    <d v="1997-07-17T00:00:00"/>
    <x v="90"/>
    <x v="0"/>
    <n v="37.6"/>
    <x v="11"/>
    <s v="Kirkland"/>
    <x v="1"/>
    <s v="98034"/>
    <s v="USA"/>
    <x v="105"/>
    <x v="0"/>
    <n v="32"/>
  </r>
  <r>
    <x v="12"/>
    <x v="12"/>
    <x v="96"/>
    <d v="1997-08-04T00:00:00"/>
    <x v="90"/>
    <x v="0"/>
    <n v="25.41"/>
    <x v="11"/>
    <s v="Kirkland"/>
    <x v="1"/>
    <s v="98034"/>
    <s v="USA"/>
    <x v="106"/>
    <x v="0"/>
    <n v="48"/>
  </r>
  <r>
    <x v="12"/>
    <x v="12"/>
    <x v="87"/>
    <d v="1998-02-05T00:00:00"/>
    <x v="91"/>
    <x v="2"/>
    <n v="7"/>
    <x v="11"/>
    <s v="Kirkland"/>
    <x v="1"/>
    <s v="98034"/>
    <s v="USA"/>
    <x v="107"/>
    <x v="0"/>
    <n v="9"/>
  </r>
  <r>
    <x v="13"/>
    <x v="13"/>
    <x v="97"/>
    <d v="1996-08-14T00:00:00"/>
    <x v="92"/>
    <x v="1"/>
    <n v="4.5599999999999996"/>
    <x v="12"/>
    <s v="Seattle"/>
    <x v="1"/>
    <s v="98124"/>
    <s v="USA"/>
    <x v="108"/>
    <x v="0"/>
    <n v="80"/>
  </r>
  <r>
    <x v="13"/>
    <x v="13"/>
    <x v="98"/>
    <d v="1996-11-29T00:00:00"/>
    <x v="93"/>
    <x v="0"/>
    <n v="23.29"/>
    <x v="12"/>
    <s v="Seattle"/>
    <x v="1"/>
    <s v="98124"/>
    <s v="USA"/>
    <x v="109"/>
    <x v="0"/>
    <n v="105"/>
  </r>
  <r>
    <x v="13"/>
    <x v="13"/>
    <x v="99"/>
    <d v="1997-04-07T00:00:00"/>
    <x v="31"/>
    <x v="1"/>
    <n v="60.18"/>
    <x v="12"/>
    <s v="Seattle"/>
    <x v="1"/>
    <s v="98124"/>
    <s v="USA"/>
    <x v="110"/>
    <x v="0"/>
    <n v="77"/>
  </r>
  <r>
    <x v="13"/>
    <x v="13"/>
    <x v="100"/>
    <d v="1997-04-21T00:00:00"/>
    <x v="94"/>
    <x v="0"/>
    <n v="15.28"/>
    <x v="12"/>
    <s v="Seattle"/>
    <x v="1"/>
    <s v="98124"/>
    <s v="USA"/>
    <x v="111"/>
    <x v="1"/>
    <n v="65"/>
  </r>
  <r>
    <x v="13"/>
    <x v="13"/>
    <x v="101"/>
    <d v="1997-05-09T00:00:00"/>
    <x v="95"/>
    <x v="2"/>
    <n v="59.13"/>
    <x v="12"/>
    <s v="Seattle"/>
    <x v="1"/>
    <s v="98124"/>
    <s v="USA"/>
    <x v="112"/>
    <x v="0"/>
    <n v="59"/>
  </r>
  <r>
    <x v="13"/>
    <x v="13"/>
    <x v="102"/>
    <d v="1997-08-08T00:00:00"/>
    <x v="96"/>
    <x v="1"/>
    <n v="16.34"/>
    <x v="12"/>
    <s v="Seattle"/>
    <x v="1"/>
    <s v="98124"/>
    <s v="USA"/>
    <x v="113"/>
    <x v="1"/>
    <n v="59"/>
  </r>
  <r>
    <x v="13"/>
    <x v="13"/>
    <x v="103"/>
    <d v="1997-10-20T00:00:00"/>
    <x v="97"/>
    <x v="2"/>
    <n v="139.34"/>
    <x v="12"/>
    <s v="Seattle"/>
    <x v="1"/>
    <s v="98124"/>
    <s v="USA"/>
    <x v="114"/>
    <x v="0"/>
    <n v="111"/>
  </r>
  <r>
    <x v="13"/>
    <x v="13"/>
    <x v="104"/>
    <d v="1997-11-19T00:00:00"/>
    <x v="98"/>
    <x v="2"/>
    <n v="102.55"/>
    <x v="12"/>
    <s v="Seattle"/>
    <x v="1"/>
    <s v="98124"/>
    <s v="USA"/>
    <x v="115"/>
    <x v="0"/>
    <n v="38"/>
  </r>
  <r>
    <x v="13"/>
    <x v="13"/>
    <x v="105"/>
    <d v="1997-11-27T00:00:00"/>
    <x v="99"/>
    <x v="1"/>
    <n v="21.72"/>
    <x v="12"/>
    <s v="Seattle"/>
    <x v="1"/>
    <s v="98124"/>
    <s v="USA"/>
    <x v="116"/>
    <x v="0"/>
    <n v="15"/>
  </r>
  <r>
    <x v="13"/>
    <x v="13"/>
    <x v="106"/>
    <d v="1997-12-11T00:00:00"/>
    <x v="99"/>
    <x v="0"/>
    <n v="81.88"/>
    <x v="12"/>
    <s v="Seattle"/>
    <x v="1"/>
    <s v="98124"/>
    <s v="USA"/>
    <x v="117"/>
    <x v="0"/>
    <n v="94"/>
  </r>
  <r>
    <x v="13"/>
    <x v="13"/>
    <x v="107"/>
    <d v="1998-02-27T00:00:00"/>
    <x v="100"/>
    <x v="0"/>
    <n v="14.93"/>
    <x v="12"/>
    <s v="Seattle"/>
    <x v="1"/>
    <s v="98124"/>
    <s v="USA"/>
    <x v="118"/>
    <x v="0"/>
    <n v="140"/>
  </r>
  <r>
    <x v="13"/>
    <x v="13"/>
    <x v="108"/>
    <d v="1998-03-24T00:00:00"/>
    <x v="101"/>
    <x v="2"/>
    <n v="162.94999999999999"/>
    <x v="12"/>
    <s v="Seattle"/>
    <x v="1"/>
    <s v="98124"/>
    <s v="USA"/>
    <x v="119"/>
    <x v="0"/>
    <n v="50"/>
  </r>
  <r>
    <x v="13"/>
    <x v="13"/>
    <x v="79"/>
    <d v="1998-05-15T00:00:00"/>
    <x v="102"/>
    <x v="2"/>
    <n v="606.19000000000005"/>
    <x v="12"/>
    <s v="Seattle"/>
    <x v="1"/>
    <s v="98124"/>
    <s v="USA"/>
    <x v="120"/>
    <x v="0"/>
    <n v="90"/>
  </r>
  <r>
    <x v="13"/>
    <x v="13"/>
    <x v="80"/>
    <d v="1998-05-29T00:00:00"/>
    <x v="78"/>
    <x v="0"/>
    <n v="44.72"/>
    <x v="12"/>
    <s v="Seattle"/>
    <x v="1"/>
    <s v="98124"/>
    <s v="USA"/>
    <x v="121"/>
    <x v="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 SALES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7:B34" firstHeaderRow="1" firstDataRow="1" firstDataCol="1"/>
  <pivotFields count="17">
    <pivotField showAll="0"/>
    <pivotField showAll="0"/>
    <pivotField axis="axisRow" numFmtId="166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64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6"/>
    <field x="2"/>
  </rowFields>
  <rowItems count="27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Order Total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6" count="1" selected="0">
            <x v="3"/>
          </reference>
        </references>
      </pivotArea>
    </chartFormat>
  </chartFormats>
  <pivotTableStyleInfo name="PivotStyleMedium10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USTOMER reg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:B16" firstHeaderRow="1" firstDataRow="1" firstDataCol="1"/>
  <pivotFields count="17">
    <pivotField dataField="1" showAll="0"/>
    <pivotField showAll="0"/>
    <pivotField numFmtId="164" showAll="0"/>
    <pivotField numFmtId="164" showAll="0"/>
    <pivotField showAll="0"/>
    <pivotField showAll="0"/>
    <pivotField numFmtId="165" showAll="0"/>
    <pivotField showAll="0"/>
    <pivotField showAll="0"/>
    <pivotField axis="axisRow" showAll="0">
      <items count="9">
        <item x="3"/>
        <item x="2"/>
        <item x="5"/>
        <item x="7"/>
        <item x="4"/>
        <item x="0"/>
        <item x="1"/>
        <item x="6"/>
        <item t="default"/>
      </items>
    </pivotField>
    <pivotField showAll="0"/>
    <pivotField showAll="0"/>
    <pivotField numFmtId="165" showAll="0"/>
    <pivotField showAll="0"/>
    <pivotField showAll="0"/>
    <pivotField showAll="0" defaultSubtotal="0"/>
    <pivotField showAll="0" defaultSubtota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7:B22" firstHeaderRow="1" firstDataRow="1" firstDataCol="1"/>
  <pivotFields count="17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104">
        <item x="38"/>
        <item x="39"/>
        <item x="92"/>
        <item x="79"/>
        <item x="40"/>
        <item x="21"/>
        <item x="86"/>
        <item x="41"/>
        <item x="42"/>
        <item x="29"/>
        <item x="22"/>
        <item x="80"/>
        <item x="30"/>
        <item x="93"/>
        <item x="43"/>
        <item x="81"/>
        <item x="10"/>
        <item x="82"/>
        <item x="11"/>
        <item x="55"/>
        <item x="44"/>
        <item x="12"/>
        <item x="83"/>
        <item x="57"/>
        <item x="56"/>
        <item x="31"/>
        <item x="45"/>
        <item x="15"/>
        <item x="95"/>
        <item x="94"/>
        <item x="58"/>
        <item x="0"/>
        <item x="23"/>
        <item x="59"/>
        <item x="46"/>
        <item x="16"/>
        <item x="90"/>
        <item x="17"/>
        <item x="47"/>
        <item x="1"/>
        <item x="32"/>
        <item x="48"/>
        <item x="13"/>
        <item x="61"/>
        <item x="62"/>
        <item x="2"/>
        <item x="3"/>
        <item x="60"/>
        <item x="96"/>
        <item x="87"/>
        <item x="63"/>
        <item x="4"/>
        <item x="64"/>
        <item x="25"/>
        <item x="24"/>
        <item x="33"/>
        <item x="5"/>
        <item x="97"/>
        <item x="98"/>
        <item x="14"/>
        <item x="65"/>
        <item x="34"/>
        <item x="67"/>
        <item x="68"/>
        <item x="66"/>
        <item x="69"/>
        <item x="18"/>
        <item x="19"/>
        <item x="99"/>
        <item x="70"/>
        <item x="84"/>
        <item x="49"/>
        <item x="71"/>
        <item x="88"/>
        <item x="37"/>
        <item x="50"/>
        <item x="72"/>
        <item x="85"/>
        <item x="91"/>
        <item x="51"/>
        <item x="6"/>
        <item x="73"/>
        <item x="26"/>
        <item x="20"/>
        <item x="100"/>
        <item x="27"/>
        <item x="52"/>
        <item x="101"/>
        <item x="7"/>
        <item x="74"/>
        <item x="35"/>
        <item x="76"/>
        <item x="75"/>
        <item x="89"/>
        <item x="53"/>
        <item x="54"/>
        <item x="8"/>
        <item x="28"/>
        <item x="102"/>
        <item x="77"/>
        <item x="36"/>
        <item x="78"/>
        <item x="9"/>
        <item t="default"/>
      </items>
    </pivotField>
    <pivotField showAll="0"/>
    <pivotField numFmtId="165" showAll="0"/>
    <pivotField showAll="0">
      <items count="14">
        <item x="12"/>
        <item x="2"/>
        <item x="7"/>
        <item x="0"/>
        <item x="5"/>
        <item x="6"/>
        <item x="10"/>
        <item x="11"/>
        <item x="3"/>
        <item x="4"/>
        <item x="9"/>
        <item x="1"/>
        <item x="8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  <pivotField showAll="0" defaultSubtotal="0"/>
    <pivotField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Order Total" fld="12" baseField="0" baseItem="0"/>
  </dataFields>
  <chartFormats count="3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14:B17" firstHeaderRow="1" firstDataRow="1" firstDataCol="1"/>
  <pivotFields count="17"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numFmtId="164" showAll="0"/>
    <pivotField showAll="0"/>
    <pivotField showAll="0">
      <items count="4">
        <item x="2"/>
        <item x="1"/>
        <item x="0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>
      <items count="123">
        <item x="28"/>
        <item x="78"/>
        <item x="89"/>
        <item x="101"/>
        <item x="1"/>
        <item x="27"/>
        <item x="13"/>
        <item x="25"/>
        <item x="91"/>
        <item x="16"/>
        <item x="99"/>
        <item x="9"/>
        <item x="17"/>
        <item x="103"/>
        <item x="107"/>
        <item x="23"/>
        <item x="18"/>
        <item x="104"/>
        <item x="98"/>
        <item x="11"/>
        <item x="8"/>
        <item x="0"/>
        <item x="24"/>
        <item x="22"/>
        <item x="97"/>
        <item x="12"/>
        <item x="116"/>
        <item x="14"/>
        <item x="94"/>
        <item x="10"/>
        <item x="38"/>
        <item x="33"/>
        <item x="106"/>
        <item x="7"/>
        <item x="20"/>
        <item x="40"/>
        <item x="51"/>
        <item x="4"/>
        <item x="108"/>
        <item x="96"/>
        <item x="111"/>
        <item x="105"/>
        <item x="83"/>
        <item x="37"/>
        <item x="93"/>
        <item x="121"/>
        <item x="31"/>
        <item x="49"/>
        <item x="80"/>
        <item x="115"/>
        <item x="56"/>
        <item x="110"/>
        <item x="19"/>
        <item x="52"/>
        <item x="68"/>
        <item x="26"/>
        <item x="48"/>
        <item x="5"/>
        <item x="57"/>
        <item x="112"/>
        <item x="102"/>
        <item x="21"/>
        <item x="41"/>
        <item x="113"/>
        <item x="65"/>
        <item x="75"/>
        <item x="29"/>
        <item x="2"/>
        <item x="39"/>
        <item x="34"/>
        <item x="15"/>
        <item x="45"/>
        <item x="32"/>
        <item x="117"/>
        <item x="84"/>
        <item x="42"/>
        <item x="35"/>
        <item x="85"/>
        <item x="119"/>
        <item x="71"/>
        <item x="62"/>
        <item x="76"/>
        <item x="36"/>
        <item x="43"/>
        <item x="114"/>
        <item x="50"/>
        <item x="86"/>
        <item x="95"/>
        <item x="92"/>
        <item x="60"/>
        <item x="100"/>
        <item x="73"/>
        <item x="44"/>
        <item x="109"/>
        <item x="81"/>
        <item x="74"/>
        <item x="53"/>
        <item x="77"/>
        <item x="59"/>
        <item x="118"/>
        <item x="64"/>
        <item x="55"/>
        <item x="46"/>
        <item x="30"/>
        <item x="69"/>
        <item x="72"/>
        <item x="88"/>
        <item x="63"/>
        <item x="82"/>
        <item x="90"/>
        <item x="3"/>
        <item x="70"/>
        <item x="61"/>
        <item x="58"/>
        <item x="79"/>
        <item x="67"/>
        <item x="66"/>
        <item x="6"/>
        <item x="120"/>
        <item x="47"/>
        <item x="54"/>
        <item x="8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 defaultSubtotal="0"/>
    <pivotField showAll="0" defaultSubtota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6:B10" firstHeaderRow="1" firstDataRow="1" firstDataCol="1"/>
  <pivotFields count="17">
    <pivotField showAll="0"/>
    <pivotField showAll="0"/>
    <pivotField numFmtId="164"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numFmtId="165" showAll="0"/>
    <pivotField showAll="0">
      <items count="3">
        <item x="0"/>
        <item x="1"/>
        <item t="default"/>
      </items>
    </pivotField>
    <pivotField showAll="0"/>
    <pivotField showAll="0" defaultSubtotal="0"/>
    <pivotField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reight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ustomerOrders" displayName="CustomerOrders" ref="A1:O123" totalsRowShown="0">
  <autoFilter ref="A1:O123"/>
  <sortState ref="A2:M123">
    <sortCondition ref="A1:A123"/>
  </sortState>
  <tableColumns count="15">
    <tableColumn id="1" name="Customer ID"/>
    <tableColumn id="2" name="Company Name"/>
    <tableColumn id="3" name="Order Date"/>
    <tableColumn id="4" name="Required Date"/>
    <tableColumn id="5" name="Shipped Date"/>
    <tableColumn id="6" name="Ship Via"/>
    <tableColumn id="7" name="Freight"/>
    <tableColumn id="8" name="Ship Address"/>
    <tableColumn id="9" name="Ship City"/>
    <tableColumn id="10" name="Ship Region"/>
    <tableColumn id="11" name="Ship Postal Code"/>
    <tableColumn id="12" name="Ship Country"/>
    <tableColumn id="14" name="Order Total"/>
    <tableColumn id="15" name="Late" dataDxfId="1" dataCellStyle="Normal_SOURCE DATA"/>
    <tableColumn id="16" name="SumOfQuantity" dataDxfId="0" dataCellStyle="Normal_SOURCE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123"/>
  <sheetViews>
    <sheetView workbookViewId="0">
      <selection activeCell="B3" sqref="B3"/>
    </sheetView>
  </sheetViews>
  <sheetFormatPr defaultRowHeight="14.4"/>
  <cols>
    <col min="1" max="1" width="16.44140625" bestFit="1" customWidth="1"/>
    <col min="2" max="2" width="31.5546875" bestFit="1" customWidth="1"/>
    <col min="3" max="3" width="15.33203125" bestFit="1" customWidth="1"/>
    <col min="4" max="4" width="18.44140625" bestFit="1" customWidth="1"/>
    <col min="5" max="5" width="17.44140625" bestFit="1" customWidth="1"/>
    <col min="6" max="6" width="16" bestFit="1" customWidth="1"/>
    <col min="7" max="7" width="11.88671875" bestFit="1" customWidth="1"/>
    <col min="8" max="8" width="28.109375" bestFit="1" customWidth="1"/>
    <col min="9" max="9" width="12.6640625" bestFit="1" customWidth="1"/>
    <col min="10" max="10" width="16" bestFit="1" customWidth="1"/>
    <col min="11" max="11" width="20.44140625" bestFit="1" customWidth="1"/>
    <col min="12" max="12" width="16.88671875" bestFit="1" customWidth="1"/>
    <col min="13" max="13" width="15.5546875" bestFit="1" customWidth="1"/>
    <col min="14" max="14" width="9.33203125" bestFit="1" customWidth="1"/>
    <col min="15" max="15" width="19.44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7</v>
      </c>
      <c r="O1" s="1" t="s">
        <v>88</v>
      </c>
    </row>
    <row r="2" spans="1:15">
      <c r="A2" s="2" t="s">
        <v>8</v>
      </c>
      <c r="B2" s="2" t="s">
        <v>9</v>
      </c>
      <c r="C2" s="3">
        <v>35556</v>
      </c>
      <c r="D2" s="3">
        <v>35570</v>
      </c>
      <c r="E2" s="3">
        <v>35559</v>
      </c>
      <c r="F2" s="2" t="s">
        <v>10</v>
      </c>
      <c r="G2" s="4">
        <v>3.35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4">
        <v>396.2</v>
      </c>
      <c r="N2" s="2" t="s">
        <v>89</v>
      </c>
      <c r="O2" s="5">
        <v>20</v>
      </c>
    </row>
    <row r="3" spans="1:15">
      <c r="A3" s="2" t="s">
        <v>8</v>
      </c>
      <c r="B3" s="2" t="s">
        <v>9</v>
      </c>
      <c r="C3" s="3">
        <v>35615</v>
      </c>
      <c r="D3" s="3">
        <v>35643</v>
      </c>
      <c r="E3" s="3">
        <v>35625</v>
      </c>
      <c r="F3" s="2" t="s">
        <v>10</v>
      </c>
      <c r="G3" s="4">
        <v>4.42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4">
        <v>72</v>
      </c>
      <c r="N3" s="2" t="s">
        <v>89</v>
      </c>
      <c r="O3" s="5">
        <v>4</v>
      </c>
    </row>
    <row r="4" spans="1:15">
      <c r="A4" s="2" t="s">
        <v>8</v>
      </c>
      <c r="B4" s="2" t="s">
        <v>9</v>
      </c>
      <c r="C4" s="3">
        <v>35642</v>
      </c>
      <c r="D4" s="3">
        <v>35670</v>
      </c>
      <c r="E4" s="3">
        <v>35646</v>
      </c>
      <c r="F4" s="2" t="s">
        <v>10</v>
      </c>
      <c r="G4" s="4">
        <v>18.53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4">
        <v>1650</v>
      </c>
      <c r="N4" s="2" t="s">
        <v>89</v>
      </c>
      <c r="O4" s="5">
        <v>30</v>
      </c>
    </row>
    <row r="5" spans="1:15">
      <c r="A5" s="2" t="s">
        <v>8</v>
      </c>
      <c r="B5" s="2" t="s">
        <v>9</v>
      </c>
      <c r="C5" s="3">
        <v>35642</v>
      </c>
      <c r="D5" s="3">
        <v>35670</v>
      </c>
      <c r="E5" s="3">
        <v>35647</v>
      </c>
      <c r="F5" s="2" t="s">
        <v>10</v>
      </c>
      <c r="G5" s="4">
        <v>116.53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4">
        <v>5032</v>
      </c>
      <c r="N5" s="2" t="s">
        <v>89</v>
      </c>
      <c r="O5" s="5">
        <v>59</v>
      </c>
    </row>
    <row r="6" spans="1:15">
      <c r="A6" s="2" t="s">
        <v>8</v>
      </c>
      <c r="B6" s="2" t="s">
        <v>9</v>
      </c>
      <c r="C6" s="3">
        <v>35677</v>
      </c>
      <c r="D6" s="3">
        <v>35705</v>
      </c>
      <c r="E6" s="3">
        <v>35683</v>
      </c>
      <c r="F6" s="2" t="s">
        <v>16</v>
      </c>
      <c r="G6" s="4">
        <v>57.15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4">
        <v>671.35</v>
      </c>
      <c r="N6" s="2" t="s">
        <v>89</v>
      </c>
      <c r="O6" s="5">
        <v>37</v>
      </c>
    </row>
    <row r="7" spans="1:15">
      <c r="A7" s="2" t="s">
        <v>8</v>
      </c>
      <c r="B7" s="2" t="s">
        <v>9</v>
      </c>
      <c r="C7" s="3">
        <v>35698</v>
      </c>
      <c r="D7" s="3">
        <v>35726</v>
      </c>
      <c r="E7" s="3">
        <v>35703</v>
      </c>
      <c r="F7" s="2" t="s">
        <v>17</v>
      </c>
      <c r="G7" s="4">
        <v>76.13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4">
        <v>1327</v>
      </c>
      <c r="N7" s="2" t="s">
        <v>89</v>
      </c>
      <c r="O7" s="5">
        <v>70</v>
      </c>
    </row>
    <row r="8" spans="1:15">
      <c r="A8" s="2" t="s">
        <v>8</v>
      </c>
      <c r="B8" s="2" t="s">
        <v>9</v>
      </c>
      <c r="C8" s="3">
        <v>35801</v>
      </c>
      <c r="D8" s="3">
        <v>35829</v>
      </c>
      <c r="E8" s="3">
        <v>35830</v>
      </c>
      <c r="F8" s="2" t="s">
        <v>10</v>
      </c>
      <c r="G8" s="4">
        <v>719.78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4">
        <v>8891</v>
      </c>
      <c r="N8" s="2" t="s">
        <v>90</v>
      </c>
      <c r="O8" s="5">
        <v>50</v>
      </c>
    </row>
    <row r="9" spans="1:15">
      <c r="A9" s="2" t="s">
        <v>8</v>
      </c>
      <c r="B9" s="2" t="s">
        <v>9</v>
      </c>
      <c r="C9" s="3">
        <v>35863</v>
      </c>
      <c r="D9" s="3">
        <v>35891</v>
      </c>
      <c r="E9" s="3">
        <v>35872</v>
      </c>
      <c r="F9" s="2" t="s">
        <v>10</v>
      </c>
      <c r="G9" s="4">
        <v>33.68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4">
        <v>570</v>
      </c>
      <c r="N9" s="2" t="s">
        <v>89</v>
      </c>
      <c r="O9" s="5">
        <v>30</v>
      </c>
    </row>
    <row r="10" spans="1:15">
      <c r="A10" s="2" t="s">
        <v>8</v>
      </c>
      <c r="B10" s="2" t="s">
        <v>9</v>
      </c>
      <c r="C10" s="3">
        <v>35892</v>
      </c>
      <c r="D10" s="3">
        <v>35920</v>
      </c>
      <c r="E10" s="3">
        <v>35900</v>
      </c>
      <c r="F10" s="2" t="s">
        <v>10</v>
      </c>
      <c r="G10" s="4">
        <v>25.19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4">
        <v>391.58</v>
      </c>
      <c r="N10" s="2" t="s">
        <v>89</v>
      </c>
      <c r="O10" s="5">
        <v>10</v>
      </c>
    </row>
    <row r="11" spans="1:15">
      <c r="A11" s="2" t="s">
        <v>8</v>
      </c>
      <c r="B11" s="2" t="s">
        <v>9</v>
      </c>
      <c r="C11" s="3">
        <v>35907</v>
      </c>
      <c r="D11" s="3">
        <v>35935</v>
      </c>
      <c r="E11" s="6"/>
      <c r="F11" s="2" t="s">
        <v>17</v>
      </c>
      <c r="G11" s="4">
        <v>18.84</v>
      </c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4">
        <v>200</v>
      </c>
      <c r="N11" s="2" t="s">
        <v>89</v>
      </c>
      <c r="O11" s="5">
        <v>20</v>
      </c>
    </row>
    <row r="12" spans="1:15">
      <c r="A12" s="2" t="s">
        <v>8</v>
      </c>
      <c r="B12" s="2" t="s">
        <v>9</v>
      </c>
      <c r="C12" s="3">
        <v>35915</v>
      </c>
      <c r="D12" s="3">
        <v>35957</v>
      </c>
      <c r="E12" s="6"/>
      <c r="F12" s="2" t="s">
        <v>17</v>
      </c>
      <c r="G12" s="4">
        <v>14.01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4">
        <v>510</v>
      </c>
      <c r="N12" s="2" t="s">
        <v>89</v>
      </c>
      <c r="O12" s="5">
        <v>15</v>
      </c>
    </row>
    <row r="13" spans="1:15" ht="28.8">
      <c r="A13" s="2" t="s">
        <v>18</v>
      </c>
      <c r="B13" s="2" t="s">
        <v>19</v>
      </c>
      <c r="C13" s="3">
        <v>35405</v>
      </c>
      <c r="D13" s="3">
        <v>35433</v>
      </c>
      <c r="E13" s="3">
        <v>35408</v>
      </c>
      <c r="F13" s="2" t="s">
        <v>10</v>
      </c>
      <c r="G13" s="4">
        <v>20.12</v>
      </c>
      <c r="H13" s="2" t="s">
        <v>20</v>
      </c>
      <c r="I13" s="2" t="s">
        <v>21</v>
      </c>
      <c r="J13" s="2" t="s">
        <v>13</v>
      </c>
      <c r="K13" s="2" t="s">
        <v>22</v>
      </c>
      <c r="L13" s="2" t="s">
        <v>15</v>
      </c>
      <c r="M13" s="4">
        <v>338</v>
      </c>
      <c r="N13" s="2" t="s">
        <v>89</v>
      </c>
      <c r="O13" s="5">
        <v>25</v>
      </c>
    </row>
    <row r="14" spans="1:15" ht="28.8">
      <c r="A14" s="2" t="s">
        <v>18</v>
      </c>
      <c r="B14" s="2" t="s">
        <v>19</v>
      </c>
      <c r="C14" s="3">
        <v>35424</v>
      </c>
      <c r="D14" s="3">
        <v>35452</v>
      </c>
      <c r="E14" s="3">
        <v>35433</v>
      </c>
      <c r="F14" s="2" t="s">
        <v>17</v>
      </c>
      <c r="G14" s="4">
        <v>30.34</v>
      </c>
      <c r="H14" s="2" t="s">
        <v>20</v>
      </c>
      <c r="I14" s="2" t="s">
        <v>21</v>
      </c>
      <c r="J14" s="2" t="s">
        <v>13</v>
      </c>
      <c r="K14" s="2" t="s">
        <v>22</v>
      </c>
      <c r="L14" s="2" t="s">
        <v>15</v>
      </c>
      <c r="M14" s="4">
        <v>442</v>
      </c>
      <c r="N14" s="2" t="s">
        <v>89</v>
      </c>
      <c r="O14" s="5">
        <v>20</v>
      </c>
    </row>
    <row r="15" spans="1:15" ht="28.8">
      <c r="A15" s="2" t="s">
        <v>18</v>
      </c>
      <c r="B15" s="2" t="s">
        <v>19</v>
      </c>
      <c r="C15" s="3">
        <v>35445</v>
      </c>
      <c r="D15" s="3">
        <v>35473</v>
      </c>
      <c r="E15" s="3">
        <v>35454</v>
      </c>
      <c r="F15" s="2" t="s">
        <v>16</v>
      </c>
      <c r="G15" s="4">
        <v>0.2</v>
      </c>
      <c r="H15" s="2" t="s">
        <v>20</v>
      </c>
      <c r="I15" s="2" t="s">
        <v>21</v>
      </c>
      <c r="J15" s="2" t="s">
        <v>13</v>
      </c>
      <c r="K15" s="2" t="s">
        <v>22</v>
      </c>
      <c r="L15" s="2" t="s">
        <v>15</v>
      </c>
      <c r="M15" s="4">
        <v>102.4</v>
      </c>
      <c r="N15" s="2" t="s">
        <v>89</v>
      </c>
      <c r="O15" s="5">
        <v>22</v>
      </c>
    </row>
    <row r="16" spans="1:15" ht="28.8">
      <c r="A16" s="2" t="s">
        <v>18</v>
      </c>
      <c r="B16" s="2" t="s">
        <v>19</v>
      </c>
      <c r="C16" s="3">
        <v>35627</v>
      </c>
      <c r="D16" s="3">
        <v>35655</v>
      </c>
      <c r="E16" s="3">
        <v>35632</v>
      </c>
      <c r="F16" s="2" t="s">
        <v>16</v>
      </c>
      <c r="G16" s="4">
        <v>45.13</v>
      </c>
      <c r="H16" s="2" t="s">
        <v>20</v>
      </c>
      <c r="I16" s="2" t="s">
        <v>21</v>
      </c>
      <c r="J16" s="2" t="s">
        <v>13</v>
      </c>
      <c r="K16" s="2" t="s">
        <v>22</v>
      </c>
      <c r="L16" s="2" t="s">
        <v>15</v>
      </c>
      <c r="M16" s="4">
        <v>479.8</v>
      </c>
      <c r="N16" s="2" t="s">
        <v>89</v>
      </c>
      <c r="O16" s="5">
        <v>34</v>
      </c>
    </row>
    <row r="17" spans="1:15" ht="28.8">
      <c r="A17" s="2" t="s">
        <v>18</v>
      </c>
      <c r="B17" s="2" t="s">
        <v>19</v>
      </c>
      <c r="C17" s="3">
        <v>35681</v>
      </c>
      <c r="D17" s="3">
        <v>35709</v>
      </c>
      <c r="E17" s="3">
        <v>35718</v>
      </c>
      <c r="F17" s="2" t="s">
        <v>16</v>
      </c>
      <c r="G17" s="4">
        <v>111.29</v>
      </c>
      <c r="H17" s="2" t="s">
        <v>20</v>
      </c>
      <c r="I17" s="2" t="s">
        <v>21</v>
      </c>
      <c r="J17" s="2" t="s">
        <v>13</v>
      </c>
      <c r="K17" s="2" t="s">
        <v>22</v>
      </c>
      <c r="L17" s="2" t="s">
        <v>15</v>
      </c>
      <c r="M17" s="4">
        <v>1701</v>
      </c>
      <c r="N17" s="2" t="s">
        <v>90</v>
      </c>
      <c r="O17" s="5">
        <v>21</v>
      </c>
    </row>
    <row r="18" spans="1:15">
      <c r="A18" s="2" t="s">
        <v>23</v>
      </c>
      <c r="B18" s="2" t="s">
        <v>24</v>
      </c>
      <c r="C18" s="3">
        <v>35510</v>
      </c>
      <c r="D18" s="3">
        <v>35538</v>
      </c>
      <c r="E18" s="3">
        <v>35530</v>
      </c>
      <c r="F18" s="2" t="s">
        <v>17</v>
      </c>
      <c r="G18" s="4">
        <v>7.48</v>
      </c>
      <c r="H18" s="2" t="s">
        <v>25</v>
      </c>
      <c r="I18" s="2" t="s">
        <v>26</v>
      </c>
      <c r="J18" s="2" t="s">
        <v>27</v>
      </c>
      <c r="K18" s="2" t="s">
        <v>28</v>
      </c>
      <c r="L18" s="2" t="s">
        <v>15</v>
      </c>
      <c r="M18" s="4">
        <v>147</v>
      </c>
      <c r="N18" s="2" t="s">
        <v>89</v>
      </c>
      <c r="O18" s="5">
        <v>10</v>
      </c>
    </row>
    <row r="19" spans="1:15">
      <c r="A19" s="2" t="s">
        <v>23</v>
      </c>
      <c r="B19" s="2" t="s">
        <v>24</v>
      </c>
      <c r="C19" s="3">
        <v>35572</v>
      </c>
      <c r="D19" s="3">
        <v>35600</v>
      </c>
      <c r="E19" s="3">
        <v>35607</v>
      </c>
      <c r="F19" s="2" t="s">
        <v>10</v>
      </c>
      <c r="G19" s="4">
        <v>11.92</v>
      </c>
      <c r="H19" s="2" t="s">
        <v>25</v>
      </c>
      <c r="I19" s="2" t="s">
        <v>26</v>
      </c>
      <c r="J19" s="2" t="s">
        <v>27</v>
      </c>
      <c r="K19" s="2" t="s">
        <v>28</v>
      </c>
      <c r="L19" s="2" t="s">
        <v>15</v>
      </c>
      <c r="M19" s="4">
        <v>210</v>
      </c>
      <c r="N19" s="2" t="s">
        <v>90</v>
      </c>
      <c r="O19" s="5">
        <v>10</v>
      </c>
    </row>
    <row r="20" spans="1:15" ht="28.8">
      <c r="A20" s="2" t="s">
        <v>29</v>
      </c>
      <c r="B20" s="2" t="s">
        <v>30</v>
      </c>
      <c r="C20" s="3">
        <v>35606</v>
      </c>
      <c r="D20" s="3">
        <v>35634</v>
      </c>
      <c r="E20" s="3">
        <v>35615</v>
      </c>
      <c r="F20" s="2" t="s">
        <v>10</v>
      </c>
      <c r="G20" s="4">
        <v>13.73</v>
      </c>
      <c r="H20" s="2" t="s">
        <v>31</v>
      </c>
      <c r="I20" s="2" t="s">
        <v>32</v>
      </c>
      <c r="J20" s="2" t="s">
        <v>33</v>
      </c>
      <c r="K20" s="2" t="s">
        <v>34</v>
      </c>
      <c r="L20" s="2" t="s">
        <v>15</v>
      </c>
      <c r="M20" s="4">
        <v>317.75</v>
      </c>
      <c r="N20" s="2" t="s">
        <v>89</v>
      </c>
      <c r="O20" s="5">
        <v>31</v>
      </c>
    </row>
    <row r="21" spans="1:15" ht="28.8">
      <c r="A21" s="2" t="s">
        <v>29</v>
      </c>
      <c r="B21" s="2" t="s">
        <v>30</v>
      </c>
      <c r="C21" s="3">
        <v>35730</v>
      </c>
      <c r="D21" s="3">
        <v>35758</v>
      </c>
      <c r="E21" s="3">
        <v>35739</v>
      </c>
      <c r="F21" s="2" t="s">
        <v>10</v>
      </c>
      <c r="G21" s="4">
        <v>51.44</v>
      </c>
      <c r="H21" s="2" t="s">
        <v>31</v>
      </c>
      <c r="I21" s="2" t="s">
        <v>32</v>
      </c>
      <c r="J21" s="2" t="s">
        <v>33</v>
      </c>
      <c r="K21" s="2" t="s">
        <v>34</v>
      </c>
      <c r="L21" s="2" t="s">
        <v>15</v>
      </c>
      <c r="M21" s="4">
        <v>1125.67</v>
      </c>
      <c r="N21" s="2" t="s">
        <v>89</v>
      </c>
      <c r="O21" s="5">
        <v>55</v>
      </c>
    </row>
    <row r="22" spans="1:15" ht="28.8">
      <c r="A22" s="2" t="s">
        <v>29</v>
      </c>
      <c r="B22" s="2" t="s">
        <v>30</v>
      </c>
      <c r="C22" s="3">
        <v>35744</v>
      </c>
      <c r="D22" s="3">
        <v>35772</v>
      </c>
      <c r="E22" s="3">
        <v>35755</v>
      </c>
      <c r="F22" s="2" t="s">
        <v>10</v>
      </c>
      <c r="G22" s="4">
        <v>45.97</v>
      </c>
      <c r="H22" s="2" t="s">
        <v>31</v>
      </c>
      <c r="I22" s="2" t="s">
        <v>32</v>
      </c>
      <c r="J22" s="2" t="s">
        <v>33</v>
      </c>
      <c r="K22" s="2" t="s">
        <v>34</v>
      </c>
      <c r="L22" s="2" t="s">
        <v>15</v>
      </c>
      <c r="M22" s="4">
        <v>596</v>
      </c>
      <c r="N22" s="2" t="s">
        <v>89</v>
      </c>
      <c r="O22" s="5">
        <v>22</v>
      </c>
    </row>
    <row r="23" spans="1:15" ht="28.8">
      <c r="A23" s="2" t="s">
        <v>29</v>
      </c>
      <c r="B23" s="2" t="s">
        <v>30</v>
      </c>
      <c r="C23" s="3">
        <v>35838</v>
      </c>
      <c r="D23" s="3">
        <v>35866</v>
      </c>
      <c r="E23" s="3">
        <v>35839</v>
      </c>
      <c r="F23" s="2" t="s">
        <v>10</v>
      </c>
      <c r="G23" s="4">
        <v>90.97</v>
      </c>
      <c r="H23" s="2" t="s">
        <v>31</v>
      </c>
      <c r="I23" s="2" t="s">
        <v>32</v>
      </c>
      <c r="J23" s="2" t="s">
        <v>33</v>
      </c>
      <c r="K23" s="2" t="s">
        <v>34</v>
      </c>
      <c r="L23" s="2" t="s">
        <v>15</v>
      </c>
      <c r="M23" s="4">
        <v>1450.6</v>
      </c>
      <c r="N23" s="2" t="s">
        <v>89</v>
      </c>
      <c r="O23" s="5">
        <v>73</v>
      </c>
    </row>
    <row r="24" spans="1:15">
      <c r="A24" s="2" t="s">
        <v>35</v>
      </c>
      <c r="B24" s="2" t="s">
        <v>36</v>
      </c>
      <c r="C24" s="3">
        <v>35325</v>
      </c>
      <c r="D24" s="3">
        <v>35353</v>
      </c>
      <c r="E24" s="3">
        <v>35333</v>
      </c>
      <c r="F24" s="2" t="s">
        <v>10</v>
      </c>
      <c r="G24" s="4">
        <v>0.56000000000000005</v>
      </c>
      <c r="H24" s="2" t="s">
        <v>37</v>
      </c>
      <c r="I24" s="2" t="s">
        <v>38</v>
      </c>
      <c r="J24" s="2" t="s">
        <v>13</v>
      </c>
      <c r="K24" s="2" t="s">
        <v>39</v>
      </c>
      <c r="L24" s="2" t="s">
        <v>15</v>
      </c>
      <c r="M24" s="4">
        <v>424</v>
      </c>
      <c r="N24" s="2" t="s">
        <v>89</v>
      </c>
      <c r="O24" s="5">
        <v>13</v>
      </c>
    </row>
    <row r="25" spans="1:15">
      <c r="A25" s="2" t="s">
        <v>35</v>
      </c>
      <c r="B25" s="2" t="s">
        <v>36</v>
      </c>
      <c r="C25" s="3">
        <v>35338</v>
      </c>
      <c r="D25" s="3">
        <v>35366</v>
      </c>
      <c r="E25" s="3">
        <v>35348</v>
      </c>
      <c r="F25" s="2" t="s">
        <v>16</v>
      </c>
      <c r="G25" s="4">
        <v>12.69</v>
      </c>
      <c r="H25" s="2" t="s">
        <v>37</v>
      </c>
      <c r="I25" s="2" t="s">
        <v>38</v>
      </c>
      <c r="J25" s="2" t="s">
        <v>13</v>
      </c>
      <c r="K25" s="2" t="s">
        <v>39</v>
      </c>
      <c r="L25" s="2" t="s">
        <v>15</v>
      </c>
      <c r="M25" s="4">
        <v>288</v>
      </c>
      <c r="N25" s="2" t="s">
        <v>89</v>
      </c>
      <c r="O25" s="5">
        <v>20</v>
      </c>
    </row>
    <row r="26" spans="1:15">
      <c r="A26" s="2" t="s">
        <v>35</v>
      </c>
      <c r="B26" s="2" t="s">
        <v>36</v>
      </c>
      <c r="C26" s="3">
        <v>35571</v>
      </c>
      <c r="D26" s="3">
        <v>35599</v>
      </c>
      <c r="E26" s="3">
        <v>35580</v>
      </c>
      <c r="F26" s="2" t="s">
        <v>16</v>
      </c>
      <c r="G26" s="4">
        <v>24.91</v>
      </c>
      <c r="H26" s="2" t="s">
        <v>37</v>
      </c>
      <c r="I26" s="2" t="s">
        <v>38</v>
      </c>
      <c r="J26" s="2" t="s">
        <v>13</v>
      </c>
      <c r="K26" s="2" t="s">
        <v>39</v>
      </c>
      <c r="L26" s="2" t="s">
        <v>15</v>
      </c>
      <c r="M26" s="4">
        <v>417.2</v>
      </c>
      <c r="N26" s="2" t="s">
        <v>89</v>
      </c>
      <c r="O26" s="5">
        <v>14</v>
      </c>
    </row>
    <row r="27" spans="1:15">
      <c r="A27" s="2" t="s">
        <v>35</v>
      </c>
      <c r="B27" s="2" t="s">
        <v>36</v>
      </c>
      <c r="C27" s="3">
        <v>35682</v>
      </c>
      <c r="D27" s="3">
        <v>35710</v>
      </c>
      <c r="E27" s="3">
        <v>35691</v>
      </c>
      <c r="F27" s="2" t="s">
        <v>10</v>
      </c>
      <c r="G27" s="4">
        <v>1.28</v>
      </c>
      <c r="H27" s="2" t="s">
        <v>37</v>
      </c>
      <c r="I27" s="2" t="s">
        <v>38</v>
      </c>
      <c r="J27" s="2" t="s">
        <v>13</v>
      </c>
      <c r="K27" s="2" t="s">
        <v>39</v>
      </c>
      <c r="L27" s="2" t="s">
        <v>15</v>
      </c>
      <c r="M27" s="4">
        <v>125</v>
      </c>
      <c r="N27" s="2" t="s">
        <v>89</v>
      </c>
      <c r="O27" s="5">
        <v>10</v>
      </c>
    </row>
    <row r="28" spans="1:15">
      <c r="A28" s="2" t="s">
        <v>35</v>
      </c>
      <c r="B28" s="2" t="s">
        <v>36</v>
      </c>
      <c r="C28" s="3">
        <v>35684</v>
      </c>
      <c r="D28" s="3">
        <v>35712</v>
      </c>
      <c r="E28" s="3">
        <v>35690</v>
      </c>
      <c r="F28" s="2" t="s">
        <v>10</v>
      </c>
      <c r="G28" s="4">
        <v>26.31</v>
      </c>
      <c r="H28" s="2" t="s">
        <v>37</v>
      </c>
      <c r="I28" s="2" t="s">
        <v>38</v>
      </c>
      <c r="J28" s="2" t="s">
        <v>13</v>
      </c>
      <c r="K28" s="2" t="s">
        <v>39</v>
      </c>
      <c r="L28" s="2" t="s">
        <v>15</v>
      </c>
      <c r="M28" s="4">
        <v>1295</v>
      </c>
      <c r="N28" s="2" t="s">
        <v>89</v>
      </c>
      <c r="O28" s="5">
        <v>31</v>
      </c>
    </row>
    <row r="29" spans="1:15">
      <c r="A29" s="2" t="s">
        <v>35</v>
      </c>
      <c r="B29" s="2" t="s">
        <v>36</v>
      </c>
      <c r="C29" s="3">
        <v>35829</v>
      </c>
      <c r="D29" s="3">
        <v>35871</v>
      </c>
      <c r="E29" s="3">
        <v>35837</v>
      </c>
      <c r="F29" s="2" t="s">
        <v>16</v>
      </c>
      <c r="G29" s="4">
        <v>1.93</v>
      </c>
      <c r="H29" s="2" t="s">
        <v>37</v>
      </c>
      <c r="I29" s="2" t="s">
        <v>38</v>
      </c>
      <c r="J29" s="2" t="s">
        <v>13</v>
      </c>
      <c r="K29" s="2" t="s">
        <v>39</v>
      </c>
      <c r="L29" s="2" t="s">
        <v>15</v>
      </c>
      <c r="M29" s="4">
        <v>98.4</v>
      </c>
      <c r="N29" s="2" t="s">
        <v>89</v>
      </c>
      <c r="O29" s="5">
        <v>3</v>
      </c>
    </row>
    <row r="30" spans="1:15">
      <c r="A30" s="2" t="s">
        <v>35</v>
      </c>
      <c r="B30" s="2" t="s">
        <v>36</v>
      </c>
      <c r="C30" s="3">
        <v>35838</v>
      </c>
      <c r="D30" s="3">
        <v>35866</v>
      </c>
      <c r="E30" s="3">
        <v>35846</v>
      </c>
      <c r="F30" s="2" t="s">
        <v>17</v>
      </c>
      <c r="G30" s="4">
        <v>0.53</v>
      </c>
      <c r="H30" s="2" t="s">
        <v>37</v>
      </c>
      <c r="I30" s="2" t="s">
        <v>38</v>
      </c>
      <c r="J30" s="2" t="s">
        <v>13</v>
      </c>
      <c r="K30" s="2" t="s">
        <v>39</v>
      </c>
      <c r="L30" s="2" t="s">
        <v>15</v>
      </c>
      <c r="M30" s="4">
        <v>36</v>
      </c>
      <c r="N30" s="2" t="s">
        <v>89</v>
      </c>
      <c r="O30" s="5">
        <v>8</v>
      </c>
    </row>
    <row r="31" spans="1:15">
      <c r="A31" s="2" t="s">
        <v>35</v>
      </c>
      <c r="B31" s="2" t="s">
        <v>36</v>
      </c>
      <c r="C31" s="3">
        <v>35898</v>
      </c>
      <c r="D31" s="3">
        <v>35926</v>
      </c>
      <c r="E31" s="3">
        <v>35901</v>
      </c>
      <c r="F31" s="2" t="s">
        <v>10</v>
      </c>
      <c r="G31" s="4">
        <v>11.65</v>
      </c>
      <c r="H31" s="2" t="s">
        <v>37</v>
      </c>
      <c r="I31" s="2" t="s">
        <v>38</v>
      </c>
      <c r="J31" s="2" t="s">
        <v>13</v>
      </c>
      <c r="K31" s="2" t="s">
        <v>39</v>
      </c>
      <c r="L31" s="2" t="s">
        <v>15</v>
      </c>
      <c r="M31" s="4">
        <v>1575</v>
      </c>
      <c r="N31" s="2" t="s">
        <v>89</v>
      </c>
      <c r="O31" s="5">
        <v>35</v>
      </c>
    </row>
    <row r="32" spans="1:15">
      <c r="A32" s="2" t="s">
        <v>40</v>
      </c>
      <c r="B32" s="2" t="s">
        <v>41</v>
      </c>
      <c r="C32" s="3">
        <v>35321</v>
      </c>
      <c r="D32" s="3">
        <v>35349</v>
      </c>
      <c r="E32" s="3">
        <v>35347</v>
      </c>
      <c r="F32" s="2" t="s">
        <v>17</v>
      </c>
      <c r="G32" s="4">
        <v>257.62</v>
      </c>
      <c r="H32" s="2" t="s">
        <v>42</v>
      </c>
      <c r="I32" s="2" t="s">
        <v>43</v>
      </c>
      <c r="J32" s="2" t="s">
        <v>44</v>
      </c>
      <c r="K32" s="2" t="s">
        <v>45</v>
      </c>
      <c r="L32" s="2" t="s">
        <v>15</v>
      </c>
      <c r="M32" s="4">
        <v>4157</v>
      </c>
      <c r="N32" s="2" t="s">
        <v>89</v>
      </c>
      <c r="O32" s="5">
        <v>80</v>
      </c>
    </row>
    <row r="33" spans="1:15">
      <c r="A33" s="2" t="s">
        <v>40</v>
      </c>
      <c r="B33" s="2" t="s">
        <v>41</v>
      </c>
      <c r="C33" s="3">
        <v>35363</v>
      </c>
      <c r="D33" s="3">
        <v>35391</v>
      </c>
      <c r="E33" s="3">
        <v>35367</v>
      </c>
      <c r="F33" s="2" t="s">
        <v>17</v>
      </c>
      <c r="G33" s="4">
        <v>84.21</v>
      </c>
      <c r="H33" s="2" t="s">
        <v>42</v>
      </c>
      <c r="I33" s="2" t="s">
        <v>43</v>
      </c>
      <c r="J33" s="2" t="s">
        <v>44</v>
      </c>
      <c r="K33" s="2" t="s">
        <v>45</v>
      </c>
      <c r="L33" s="2" t="s">
        <v>15</v>
      </c>
      <c r="M33" s="4">
        <v>934.5</v>
      </c>
      <c r="N33" s="2" t="s">
        <v>89</v>
      </c>
      <c r="O33" s="5">
        <v>35</v>
      </c>
    </row>
    <row r="34" spans="1:15">
      <c r="A34" s="2" t="s">
        <v>40</v>
      </c>
      <c r="B34" s="2" t="s">
        <v>41</v>
      </c>
      <c r="C34" s="3">
        <v>35471</v>
      </c>
      <c r="D34" s="3">
        <v>35513</v>
      </c>
      <c r="E34" s="3">
        <v>35503</v>
      </c>
      <c r="F34" s="2" t="s">
        <v>10</v>
      </c>
      <c r="G34" s="4">
        <v>73.02</v>
      </c>
      <c r="H34" s="2" t="s">
        <v>42</v>
      </c>
      <c r="I34" s="2" t="s">
        <v>43</v>
      </c>
      <c r="J34" s="2" t="s">
        <v>44</v>
      </c>
      <c r="K34" s="2" t="s">
        <v>45</v>
      </c>
      <c r="L34" s="2" t="s">
        <v>15</v>
      </c>
      <c r="M34" s="4">
        <v>1755</v>
      </c>
      <c r="N34" s="2" t="s">
        <v>89</v>
      </c>
      <c r="O34" s="5">
        <v>50</v>
      </c>
    </row>
    <row r="35" spans="1:15">
      <c r="A35" s="2" t="s">
        <v>40</v>
      </c>
      <c r="B35" s="2" t="s">
        <v>41</v>
      </c>
      <c r="C35" s="3">
        <v>35620</v>
      </c>
      <c r="D35" s="3">
        <v>35648</v>
      </c>
      <c r="E35" s="3">
        <v>35627</v>
      </c>
      <c r="F35" s="2" t="s">
        <v>10</v>
      </c>
      <c r="G35" s="4">
        <v>5.24</v>
      </c>
      <c r="H35" s="2" t="s">
        <v>42</v>
      </c>
      <c r="I35" s="2" t="s">
        <v>43</v>
      </c>
      <c r="J35" s="2" t="s">
        <v>44</v>
      </c>
      <c r="K35" s="2" t="s">
        <v>45</v>
      </c>
      <c r="L35" s="2" t="s">
        <v>15</v>
      </c>
      <c r="M35" s="4">
        <v>565.5</v>
      </c>
      <c r="N35" s="2" t="s">
        <v>89</v>
      </c>
      <c r="O35" s="5">
        <v>54</v>
      </c>
    </row>
    <row r="36" spans="1:15">
      <c r="A36" s="2" t="s">
        <v>40</v>
      </c>
      <c r="B36" s="2" t="s">
        <v>41</v>
      </c>
      <c r="C36" s="3">
        <v>35697</v>
      </c>
      <c r="D36" s="3">
        <v>35725</v>
      </c>
      <c r="E36" s="3">
        <v>35699</v>
      </c>
      <c r="F36" s="2" t="s">
        <v>16</v>
      </c>
      <c r="G36" s="4">
        <v>26.61</v>
      </c>
      <c r="H36" s="2" t="s">
        <v>42</v>
      </c>
      <c r="I36" s="2" t="s">
        <v>43</v>
      </c>
      <c r="J36" s="2" t="s">
        <v>44</v>
      </c>
      <c r="K36" s="2" t="s">
        <v>45</v>
      </c>
      <c r="L36" s="2" t="s">
        <v>15</v>
      </c>
      <c r="M36" s="4">
        <v>1682.5</v>
      </c>
      <c r="N36" s="2" t="s">
        <v>89</v>
      </c>
      <c r="O36" s="5">
        <v>110</v>
      </c>
    </row>
    <row r="37" spans="1:15">
      <c r="A37" s="2" t="s">
        <v>40</v>
      </c>
      <c r="B37" s="2" t="s">
        <v>41</v>
      </c>
      <c r="C37" s="3">
        <v>35719</v>
      </c>
      <c r="D37" s="3">
        <v>35747</v>
      </c>
      <c r="E37" s="3">
        <v>35724</v>
      </c>
      <c r="F37" s="2" t="s">
        <v>17</v>
      </c>
      <c r="G37" s="4">
        <v>135.63</v>
      </c>
      <c r="H37" s="2" t="s">
        <v>42</v>
      </c>
      <c r="I37" s="2" t="s">
        <v>43</v>
      </c>
      <c r="J37" s="2" t="s">
        <v>44</v>
      </c>
      <c r="K37" s="2" t="s">
        <v>45</v>
      </c>
      <c r="L37" s="2" t="s">
        <v>15</v>
      </c>
      <c r="M37" s="4">
        <v>1893</v>
      </c>
      <c r="N37" s="2" t="s">
        <v>89</v>
      </c>
      <c r="O37" s="5">
        <v>52</v>
      </c>
    </row>
    <row r="38" spans="1:15">
      <c r="A38" s="2" t="s">
        <v>40</v>
      </c>
      <c r="B38" s="2" t="s">
        <v>41</v>
      </c>
      <c r="C38" s="3">
        <v>35822</v>
      </c>
      <c r="D38" s="3">
        <v>35850</v>
      </c>
      <c r="E38" s="3">
        <v>35830</v>
      </c>
      <c r="F38" s="2" t="s">
        <v>16</v>
      </c>
      <c r="G38" s="4">
        <v>170.97</v>
      </c>
      <c r="H38" s="2" t="s">
        <v>42</v>
      </c>
      <c r="I38" s="2" t="s">
        <v>43</v>
      </c>
      <c r="J38" s="2" t="s">
        <v>44</v>
      </c>
      <c r="K38" s="2" t="s">
        <v>45</v>
      </c>
      <c r="L38" s="2" t="s">
        <v>15</v>
      </c>
      <c r="M38" s="4">
        <v>2275.25</v>
      </c>
      <c r="N38" s="2" t="s">
        <v>89</v>
      </c>
      <c r="O38" s="5">
        <v>103</v>
      </c>
    </row>
    <row r="39" spans="1:15">
      <c r="A39" s="2" t="s">
        <v>40</v>
      </c>
      <c r="B39" s="2" t="s">
        <v>41</v>
      </c>
      <c r="C39" s="3">
        <v>35874</v>
      </c>
      <c r="D39" s="3">
        <v>35902</v>
      </c>
      <c r="E39" s="3">
        <v>35884</v>
      </c>
      <c r="F39" s="2" t="s">
        <v>17</v>
      </c>
      <c r="G39" s="4">
        <v>144.38</v>
      </c>
      <c r="H39" s="2" t="s">
        <v>42</v>
      </c>
      <c r="I39" s="2" t="s">
        <v>43</v>
      </c>
      <c r="J39" s="2" t="s">
        <v>44</v>
      </c>
      <c r="K39" s="2" t="s">
        <v>45</v>
      </c>
      <c r="L39" s="2" t="s">
        <v>15</v>
      </c>
      <c r="M39" s="4">
        <v>848</v>
      </c>
      <c r="N39" s="2" t="s">
        <v>89</v>
      </c>
      <c r="O39" s="5">
        <v>16</v>
      </c>
    </row>
    <row r="40" spans="1:15">
      <c r="A40" s="2" t="s">
        <v>40</v>
      </c>
      <c r="B40" s="2" t="s">
        <v>41</v>
      </c>
      <c r="C40" s="3">
        <v>35905</v>
      </c>
      <c r="D40" s="3">
        <v>35947</v>
      </c>
      <c r="E40" s="3">
        <v>35912</v>
      </c>
      <c r="F40" s="2" t="s">
        <v>16</v>
      </c>
      <c r="G40" s="4">
        <v>40.32</v>
      </c>
      <c r="H40" s="2" t="s">
        <v>42</v>
      </c>
      <c r="I40" s="2" t="s">
        <v>43</v>
      </c>
      <c r="J40" s="2" t="s">
        <v>44</v>
      </c>
      <c r="K40" s="2" t="s">
        <v>45</v>
      </c>
      <c r="L40" s="2" t="s">
        <v>15</v>
      </c>
      <c r="M40" s="4">
        <v>554.4</v>
      </c>
      <c r="N40" s="2" t="s">
        <v>89</v>
      </c>
      <c r="O40" s="5">
        <v>33</v>
      </c>
    </row>
    <row r="41" spans="1:15">
      <c r="A41" s="2" t="s">
        <v>91</v>
      </c>
      <c r="B41" s="2" t="s">
        <v>92</v>
      </c>
      <c r="C41" s="3">
        <v>35796</v>
      </c>
      <c r="D41" s="3">
        <v>35824</v>
      </c>
      <c r="E41" s="3">
        <v>35804</v>
      </c>
      <c r="F41" s="2" t="s">
        <v>17</v>
      </c>
      <c r="G41" s="4">
        <v>45.53</v>
      </c>
      <c r="H41" s="2" t="s">
        <v>42</v>
      </c>
      <c r="I41" s="2" t="s">
        <v>43</v>
      </c>
      <c r="J41" s="2" t="s">
        <v>44</v>
      </c>
      <c r="K41" s="2" t="s">
        <v>45</v>
      </c>
      <c r="L41" s="2" t="s">
        <v>15</v>
      </c>
      <c r="M41" s="4">
        <v>1660</v>
      </c>
      <c r="N41" s="2" t="s">
        <v>89</v>
      </c>
      <c r="O41" s="5">
        <v>70</v>
      </c>
    </row>
    <row r="42" spans="1:15">
      <c r="A42" s="2" t="s">
        <v>46</v>
      </c>
      <c r="B42" s="2" t="s">
        <v>47</v>
      </c>
      <c r="C42" s="3">
        <v>35268</v>
      </c>
      <c r="D42" s="3">
        <v>35296</v>
      </c>
      <c r="E42" s="3">
        <v>35271</v>
      </c>
      <c r="F42" s="2" t="s">
        <v>17</v>
      </c>
      <c r="G42" s="4">
        <v>48.29</v>
      </c>
      <c r="H42" s="2" t="s">
        <v>48</v>
      </c>
      <c r="I42" s="2" t="s">
        <v>49</v>
      </c>
      <c r="J42" s="2" t="s">
        <v>50</v>
      </c>
      <c r="K42" s="2" t="s">
        <v>51</v>
      </c>
      <c r="L42" s="2" t="s">
        <v>15</v>
      </c>
      <c r="M42" s="4">
        <v>624.79999999999995</v>
      </c>
      <c r="N42" s="2" t="s">
        <v>89</v>
      </c>
      <c r="O42" s="5">
        <v>29</v>
      </c>
    </row>
    <row r="43" spans="1:15">
      <c r="A43" s="2" t="s">
        <v>46</v>
      </c>
      <c r="B43" s="2" t="s">
        <v>47</v>
      </c>
      <c r="C43" s="3">
        <v>35279</v>
      </c>
      <c r="D43" s="3">
        <v>35307</v>
      </c>
      <c r="E43" s="3">
        <v>35283</v>
      </c>
      <c r="F43" s="2" t="s">
        <v>10</v>
      </c>
      <c r="G43" s="4">
        <v>98.03</v>
      </c>
      <c r="H43" s="2" t="s">
        <v>48</v>
      </c>
      <c r="I43" s="2" t="s">
        <v>49</v>
      </c>
      <c r="J43" s="2" t="s">
        <v>50</v>
      </c>
      <c r="K43" s="2" t="s">
        <v>51</v>
      </c>
      <c r="L43" s="2" t="s">
        <v>15</v>
      </c>
      <c r="M43" s="4">
        <v>1456</v>
      </c>
      <c r="N43" s="2" t="s">
        <v>89</v>
      </c>
      <c r="O43" s="5">
        <v>70</v>
      </c>
    </row>
    <row r="44" spans="1:15">
      <c r="A44" s="2" t="s">
        <v>46</v>
      </c>
      <c r="B44" s="2" t="s">
        <v>47</v>
      </c>
      <c r="C44" s="3">
        <v>35307</v>
      </c>
      <c r="D44" s="3">
        <v>35335</v>
      </c>
      <c r="E44" s="3">
        <v>35313</v>
      </c>
      <c r="F44" s="2" t="s">
        <v>10</v>
      </c>
      <c r="G44" s="4">
        <v>147.26</v>
      </c>
      <c r="H44" s="2" t="s">
        <v>48</v>
      </c>
      <c r="I44" s="2" t="s">
        <v>49</v>
      </c>
      <c r="J44" s="2" t="s">
        <v>50</v>
      </c>
      <c r="K44" s="2" t="s">
        <v>51</v>
      </c>
      <c r="L44" s="2" t="s">
        <v>15</v>
      </c>
      <c r="M44" s="4">
        <v>1887.6</v>
      </c>
      <c r="N44" s="2" t="s">
        <v>89</v>
      </c>
      <c r="O44" s="5">
        <v>75</v>
      </c>
    </row>
    <row r="45" spans="1:15">
      <c r="A45" s="2" t="s">
        <v>46</v>
      </c>
      <c r="B45" s="2" t="s">
        <v>47</v>
      </c>
      <c r="C45" s="3">
        <v>35333</v>
      </c>
      <c r="D45" s="3">
        <v>35361</v>
      </c>
      <c r="E45" s="3">
        <v>35342</v>
      </c>
      <c r="F45" s="2" t="s">
        <v>10</v>
      </c>
      <c r="G45" s="4">
        <v>74.16</v>
      </c>
      <c r="H45" s="2" t="s">
        <v>48</v>
      </c>
      <c r="I45" s="2" t="s">
        <v>49</v>
      </c>
      <c r="J45" s="2" t="s">
        <v>50</v>
      </c>
      <c r="K45" s="2" t="s">
        <v>51</v>
      </c>
      <c r="L45" s="2" t="s">
        <v>15</v>
      </c>
      <c r="M45" s="4">
        <v>2327</v>
      </c>
      <c r="N45" s="2" t="s">
        <v>89</v>
      </c>
      <c r="O45" s="5">
        <v>95</v>
      </c>
    </row>
    <row r="46" spans="1:15">
      <c r="A46" s="2" t="s">
        <v>46</v>
      </c>
      <c r="B46" s="2" t="s">
        <v>47</v>
      </c>
      <c r="C46" s="3">
        <v>35335</v>
      </c>
      <c r="D46" s="3">
        <v>35363</v>
      </c>
      <c r="E46" s="3">
        <v>35346</v>
      </c>
      <c r="F46" s="2" t="s">
        <v>17</v>
      </c>
      <c r="G46" s="4">
        <v>150.15</v>
      </c>
      <c r="H46" s="2" t="s">
        <v>48</v>
      </c>
      <c r="I46" s="2" t="s">
        <v>49</v>
      </c>
      <c r="J46" s="2" t="s">
        <v>50</v>
      </c>
      <c r="K46" s="2" t="s">
        <v>51</v>
      </c>
      <c r="L46" s="2" t="s">
        <v>15</v>
      </c>
      <c r="M46" s="4">
        <v>2835</v>
      </c>
      <c r="N46" s="2" t="s">
        <v>89</v>
      </c>
      <c r="O46" s="5">
        <v>80</v>
      </c>
    </row>
    <row r="47" spans="1:15">
      <c r="A47" s="2" t="s">
        <v>46</v>
      </c>
      <c r="B47" s="2" t="s">
        <v>47</v>
      </c>
      <c r="C47" s="3">
        <v>35374</v>
      </c>
      <c r="D47" s="3">
        <v>35416</v>
      </c>
      <c r="E47" s="3">
        <v>35377</v>
      </c>
      <c r="F47" s="2" t="s">
        <v>17</v>
      </c>
      <c r="G47" s="4">
        <v>142.08000000000001</v>
      </c>
      <c r="H47" s="2" t="s">
        <v>48</v>
      </c>
      <c r="I47" s="2" t="s">
        <v>49</v>
      </c>
      <c r="J47" s="2" t="s">
        <v>50</v>
      </c>
      <c r="K47" s="2" t="s">
        <v>51</v>
      </c>
      <c r="L47" s="2" t="s">
        <v>15</v>
      </c>
      <c r="M47" s="4">
        <v>1731.2</v>
      </c>
      <c r="N47" s="2" t="s">
        <v>89</v>
      </c>
      <c r="O47" s="5">
        <v>56</v>
      </c>
    </row>
    <row r="48" spans="1:15">
      <c r="A48" s="2" t="s">
        <v>46</v>
      </c>
      <c r="B48" s="2" t="s">
        <v>47</v>
      </c>
      <c r="C48" s="3">
        <v>35431</v>
      </c>
      <c r="D48" s="3">
        <v>35459</v>
      </c>
      <c r="E48" s="3">
        <v>35440</v>
      </c>
      <c r="F48" s="2" t="s">
        <v>16</v>
      </c>
      <c r="G48" s="4">
        <v>12.51</v>
      </c>
      <c r="H48" s="2" t="s">
        <v>48</v>
      </c>
      <c r="I48" s="2" t="s">
        <v>49</v>
      </c>
      <c r="J48" s="2" t="s">
        <v>50</v>
      </c>
      <c r="K48" s="2" t="s">
        <v>51</v>
      </c>
      <c r="L48" s="2" t="s">
        <v>15</v>
      </c>
      <c r="M48" s="4">
        <v>3868.6</v>
      </c>
      <c r="N48" s="2" t="s">
        <v>89</v>
      </c>
      <c r="O48" s="5">
        <v>168</v>
      </c>
    </row>
    <row r="49" spans="1:15">
      <c r="A49" s="2" t="s">
        <v>46</v>
      </c>
      <c r="B49" s="2" t="s">
        <v>47</v>
      </c>
      <c r="C49" s="3">
        <v>35508</v>
      </c>
      <c r="D49" s="3">
        <v>35536</v>
      </c>
      <c r="E49" s="3">
        <v>35510</v>
      </c>
      <c r="F49" s="2" t="s">
        <v>17</v>
      </c>
      <c r="G49" s="4">
        <v>708.95</v>
      </c>
      <c r="H49" s="2" t="s">
        <v>48</v>
      </c>
      <c r="I49" s="2" t="s">
        <v>49</v>
      </c>
      <c r="J49" s="2" t="s">
        <v>50</v>
      </c>
      <c r="K49" s="2" t="s">
        <v>51</v>
      </c>
      <c r="L49" s="2" t="s">
        <v>15</v>
      </c>
      <c r="M49" s="4">
        <v>10495.6</v>
      </c>
      <c r="N49" s="2" t="s">
        <v>89</v>
      </c>
      <c r="O49" s="5">
        <v>148</v>
      </c>
    </row>
    <row r="50" spans="1:15">
      <c r="A50" s="2" t="s">
        <v>46</v>
      </c>
      <c r="B50" s="2" t="s">
        <v>47</v>
      </c>
      <c r="C50" s="3">
        <v>35591</v>
      </c>
      <c r="D50" s="3">
        <v>35619</v>
      </c>
      <c r="E50" s="3">
        <v>35597</v>
      </c>
      <c r="F50" s="2" t="s">
        <v>17</v>
      </c>
      <c r="G50" s="4">
        <v>13.75</v>
      </c>
      <c r="H50" s="2" t="s">
        <v>48</v>
      </c>
      <c r="I50" s="2" t="s">
        <v>49</v>
      </c>
      <c r="J50" s="2" t="s">
        <v>50</v>
      </c>
      <c r="K50" s="2" t="s">
        <v>51</v>
      </c>
      <c r="L50" s="2" t="s">
        <v>15</v>
      </c>
      <c r="M50" s="4">
        <v>1299</v>
      </c>
      <c r="N50" s="2" t="s">
        <v>89</v>
      </c>
      <c r="O50" s="5">
        <v>47</v>
      </c>
    </row>
    <row r="51" spans="1:15">
      <c r="A51" s="2" t="s">
        <v>46</v>
      </c>
      <c r="B51" s="2" t="s">
        <v>47</v>
      </c>
      <c r="C51" s="3">
        <v>35597</v>
      </c>
      <c r="D51" s="3">
        <v>35625</v>
      </c>
      <c r="E51" s="3">
        <v>35622</v>
      </c>
      <c r="F51" s="2" t="s">
        <v>16</v>
      </c>
      <c r="G51" s="4">
        <v>58.98</v>
      </c>
      <c r="H51" s="2" t="s">
        <v>48</v>
      </c>
      <c r="I51" s="2" t="s">
        <v>49</v>
      </c>
      <c r="J51" s="2" t="s">
        <v>50</v>
      </c>
      <c r="K51" s="2" t="s">
        <v>51</v>
      </c>
      <c r="L51" s="2" t="s">
        <v>15</v>
      </c>
      <c r="M51" s="4">
        <v>977.5</v>
      </c>
      <c r="N51" s="2" t="s">
        <v>89</v>
      </c>
      <c r="O51" s="5">
        <v>65</v>
      </c>
    </row>
    <row r="52" spans="1:15">
      <c r="A52" s="2" t="s">
        <v>46</v>
      </c>
      <c r="B52" s="2" t="s">
        <v>47</v>
      </c>
      <c r="C52" s="3">
        <v>35625</v>
      </c>
      <c r="D52" s="3">
        <v>35653</v>
      </c>
      <c r="E52" s="3">
        <v>35629</v>
      </c>
      <c r="F52" s="2" t="s">
        <v>17</v>
      </c>
      <c r="G52" s="4">
        <v>44.42</v>
      </c>
      <c r="H52" s="2" t="s">
        <v>48</v>
      </c>
      <c r="I52" s="2" t="s">
        <v>49</v>
      </c>
      <c r="J52" s="2" t="s">
        <v>50</v>
      </c>
      <c r="K52" s="2" t="s">
        <v>51</v>
      </c>
      <c r="L52" s="2" t="s">
        <v>15</v>
      </c>
      <c r="M52" s="4">
        <v>2388.5</v>
      </c>
      <c r="N52" s="2" t="s">
        <v>89</v>
      </c>
      <c r="O52" s="5">
        <v>59</v>
      </c>
    </row>
    <row r="53" spans="1:15">
      <c r="A53" s="2" t="s">
        <v>46</v>
      </c>
      <c r="B53" s="2" t="s">
        <v>47</v>
      </c>
      <c r="C53" s="3">
        <v>35766</v>
      </c>
      <c r="D53" s="3">
        <v>35794</v>
      </c>
      <c r="E53" s="3">
        <v>35772</v>
      </c>
      <c r="F53" s="2" t="s">
        <v>10</v>
      </c>
      <c r="G53" s="4">
        <v>18.66</v>
      </c>
      <c r="H53" s="2" t="s">
        <v>48</v>
      </c>
      <c r="I53" s="2" t="s">
        <v>49</v>
      </c>
      <c r="J53" s="2" t="s">
        <v>50</v>
      </c>
      <c r="K53" s="2" t="s">
        <v>51</v>
      </c>
      <c r="L53" s="2" t="s">
        <v>15</v>
      </c>
      <c r="M53" s="4">
        <v>629.5</v>
      </c>
      <c r="N53" s="2" t="s">
        <v>89</v>
      </c>
      <c r="O53" s="5">
        <v>53</v>
      </c>
    </row>
    <row r="54" spans="1:15">
      <c r="A54" s="2" t="s">
        <v>46</v>
      </c>
      <c r="B54" s="2" t="s">
        <v>47</v>
      </c>
      <c r="C54" s="3">
        <v>35802</v>
      </c>
      <c r="D54" s="3">
        <v>35830</v>
      </c>
      <c r="E54" s="3">
        <v>35808</v>
      </c>
      <c r="F54" s="2" t="s">
        <v>10</v>
      </c>
      <c r="G54" s="4">
        <v>37.520000000000003</v>
      </c>
      <c r="H54" s="2" t="s">
        <v>48</v>
      </c>
      <c r="I54" s="2" t="s">
        <v>49</v>
      </c>
      <c r="J54" s="2" t="s">
        <v>50</v>
      </c>
      <c r="K54" s="2" t="s">
        <v>51</v>
      </c>
      <c r="L54" s="2" t="s">
        <v>15</v>
      </c>
      <c r="M54" s="4">
        <v>1140</v>
      </c>
      <c r="N54" s="2" t="s">
        <v>89</v>
      </c>
      <c r="O54" s="5">
        <v>30</v>
      </c>
    </row>
    <row r="55" spans="1:15">
      <c r="A55" s="2" t="s">
        <v>46</v>
      </c>
      <c r="B55" s="2" t="s">
        <v>47</v>
      </c>
      <c r="C55" s="3">
        <v>35821</v>
      </c>
      <c r="D55" s="3">
        <v>35835</v>
      </c>
      <c r="E55" s="3">
        <v>35825</v>
      </c>
      <c r="F55" s="2" t="s">
        <v>16</v>
      </c>
      <c r="G55" s="4">
        <v>174.05</v>
      </c>
      <c r="H55" s="2" t="s">
        <v>48</v>
      </c>
      <c r="I55" s="2" t="s">
        <v>49</v>
      </c>
      <c r="J55" s="2" t="s">
        <v>50</v>
      </c>
      <c r="K55" s="2" t="s">
        <v>51</v>
      </c>
      <c r="L55" s="2" t="s">
        <v>15</v>
      </c>
      <c r="M55" s="4">
        <v>2984</v>
      </c>
      <c r="N55" s="2" t="s">
        <v>89</v>
      </c>
      <c r="O55" s="5">
        <v>71</v>
      </c>
    </row>
    <row r="56" spans="1:15">
      <c r="A56" s="2" t="s">
        <v>46</v>
      </c>
      <c r="B56" s="2" t="s">
        <v>47</v>
      </c>
      <c r="C56" s="3">
        <v>35842</v>
      </c>
      <c r="D56" s="3">
        <v>35870</v>
      </c>
      <c r="E56" s="3">
        <v>35849</v>
      </c>
      <c r="F56" s="2" t="s">
        <v>17</v>
      </c>
      <c r="G56" s="4">
        <v>280.61</v>
      </c>
      <c r="H56" s="2" t="s">
        <v>48</v>
      </c>
      <c r="I56" s="2" t="s">
        <v>49</v>
      </c>
      <c r="J56" s="2" t="s">
        <v>50</v>
      </c>
      <c r="K56" s="2" t="s">
        <v>51</v>
      </c>
      <c r="L56" s="2" t="s">
        <v>15</v>
      </c>
      <c r="M56" s="4">
        <v>11380</v>
      </c>
      <c r="N56" s="2" t="s">
        <v>89</v>
      </c>
      <c r="O56" s="5">
        <v>80</v>
      </c>
    </row>
    <row r="57" spans="1:15">
      <c r="A57" s="2" t="s">
        <v>46</v>
      </c>
      <c r="B57" s="2" t="s">
        <v>47</v>
      </c>
      <c r="C57" s="3">
        <v>35885</v>
      </c>
      <c r="D57" s="3">
        <v>35913</v>
      </c>
      <c r="E57" s="3">
        <v>35895</v>
      </c>
      <c r="F57" s="2" t="s">
        <v>10</v>
      </c>
      <c r="G57" s="4">
        <v>61.14</v>
      </c>
      <c r="H57" s="2" t="s">
        <v>48</v>
      </c>
      <c r="I57" s="2" t="s">
        <v>49</v>
      </c>
      <c r="J57" s="2" t="s">
        <v>50</v>
      </c>
      <c r="K57" s="2" t="s">
        <v>51</v>
      </c>
      <c r="L57" s="2" t="s">
        <v>15</v>
      </c>
      <c r="M57" s="4">
        <v>3772</v>
      </c>
      <c r="N57" s="2" t="s">
        <v>89</v>
      </c>
      <c r="O57" s="5">
        <v>100</v>
      </c>
    </row>
    <row r="58" spans="1:15">
      <c r="A58" s="2" t="s">
        <v>46</v>
      </c>
      <c r="B58" s="2" t="s">
        <v>47</v>
      </c>
      <c r="C58" s="3">
        <v>35891</v>
      </c>
      <c r="D58" s="3">
        <v>35919</v>
      </c>
      <c r="E58" s="3">
        <v>35899</v>
      </c>
      <c r="F58" s="2" t="s">
        <v>17</v>
      </c>
      <c r="G58" s="4">
        <v>55.12</v>
      </c>
      <c r="H58" s="2" t="s">
        <v>48</v>
      </c>
      <c r="I58" s="2" t="s">
        <v>49</v>
      </c>
      <c r="J58" s="2" t="s">
        <v>50</v>
      </c>
      <c r="K58" s="2" t="s">
        <v>51</v>
      </c>
      <c r="L58" s="2" t="s">
        <v>15</v>
      </c>
      <c r="M58" s="4">
        <v>1075</v>
      </c>
      <c r="N58" s="2" t="s">
        <v>89</v>
      </c>
      <c r="O58" s="5">
        <v>85</v>
      </c>
    </row>
    <row r="59" spans="1:15">
      <c r="A59" s="2" t="s">
        <v>46</v>
      </c>
      <c r="B59" s="2" t="s">
        <v>47</v>
      </c>
      <c r="C59" s="3">
        <v>35921</v>
      </c>
      <c r="D59" s="3">
        <v>35949</v>
      </c>
      <c r="E59" s="6"/>
      <c r="F59" s="2" t="s">
        <v>10</v>
      </c>
      <c r="G59" s="4">
        <v>8.5299999999999994</v>
      </c>
      <c r="H59" s="2" t="s">
        <v>48</v>
      </c>
      <c r="I59" s="2" t="s">
        <v>49</v>
      </c>
      <c r="J59" s="2" t="s">
        <v>50</v>
      </c>
      <c r="K59" s="2" t="s">
        <v>51</v>
      </c>
      <c r="L59" s="2" t="s">
        <v>15</v>
      </c>
      <c r="M59" s="4">
        <v>1374.6</v>
      </c>
      <c r="N59" s="2" t="s">
        <v>89</v>
      </c>
      <c r="O59" s="5">
        <v>72</v>
      </c>
    </row>
    <row r="60" spans="1:15">
      <c r="A60" s="2" t="s">
        <v>52</v>
      </c>
      <c r="B60" s="2" t="s">
        <v>53</v>
      </c>
      <c r="C60" s="3">
        <v>35346</v>
      </c>
      <c r="D60" s="3">
        <v>35374</v>
      </c>
      <c r="E60" s="3">
        <v>35348</v>
      </c>
      <c r="F60" s="2" t="s">
        <v>16</v>
      </c>
      <c r="G60" s="4">
        <v>214.27</v>
      </c>
      <c r="H60" s="2" t="s">
        <v>54</v>
      </c>
      <c r="I60" s="2" t="s">
        <v>55</v>
      </c>
      <c r="J60" s="2" t="s">
        <v>56</v>
      </c>
      <c r="K60" s="2" t="s">
        <v>57</v>
      </c>
      <c r="L60" s="2" t="s">
        <v>15</v>
      </c>
      <c r="M60" s="4">
        <v>6155.9</v>
      </c>
      <c r="N60" s="2" t="s">
        <v>89</v>
      </c>
      <c r="O60" s="5">
        <v>241</v>
      </c>
    </row>
    <row r="61" spans="1:15">
      <c r="A61" s="2" t="s">
        <v>52</v>
      </c>
      <c r="B61" s="2" t="s">
        <v>53</v>
      </c>
      <c r="C61" s="3">
        <v>35424</v>
      </c>
      <c r="D61" s="3">
        <v>35452</v>
      </c>
      <c r="E61" s="3">
        <v>35433</v>
      </c>
      <c r="F61" s="2" t="s">
        <v>17</v>
      </c>
      <c r="G61" s="4">
        <v>126.56</v>
      </c>
      <c r="H61" s="2" t="s">
        <v>54</v>
      </c>
      <c r="I61" s="2" t="s">
        <v>55</v>
      </c>
      <c r="J61" s="2" t="s">
        <v>56</v>
      </c>
      <c r="K61" s="2" t="s">
        <v>57</v>
      </c>
      <c r="L61" s="2" t="s">
        <v>15</v>
      </c>
      <c r="M61" s="4">
        <v>3302.6</v>
      </c>
      <c r="N61" s="2" t="s">
        <v>89</v>
      </c>
      <c r="O61" s="5">
        <v>176</v>
      </c>
    </row>
    <row r="62" spans="1:15">
      <c r="A62" s="2" t="s">
        <v>52</v>
      </c>
      <c r="B62" s="2" t="s">
        <v>53</v>
      </c>
      <c r="C62" s="3">
        <v>35429</v>
      </c>
      <c r="D62" s="3">
        <v>35457</v>
      </c>
      <c r="E62" s="3">
        <v>35439</v>
      </c>
      <c r="F62" s="2" t="s">
        <v>17</v>
      </c>
      <c r="G62" s="4">
        <v>89.16</v>
      </c>
      <c r="H62" s="2" t="s">
        <v>54</v>
      </c>
      <c r="I62" s="2" t="s">
        <v>55</v>
      </c>
      <c r="J62" s="2" t="s">
        <v>56</v>
      </c>
      <c r="K62" s="2" t="s">
        <v>57</v>
      </c>
      <c r="L62" s="2" t="s">
        <v>15</v>
      </c>
      <c r="M62" s="4">
        <v>2736</v>
      </c>
      <c r="N62" s="2" t="s">
        <v>89</v>
      </c>
      <c r="O62" s="5">
        <v>150</v>
      </c>
    </row>
    <row r="63" spans="1:15">
      <c r="A63" s="2" t="s">
        <v>52</v>
      </c>
      <c r="B63" s="2" t="s">
        <v>53</v>
      </c>
      <c r="C63" s="3">
        <v>35471</v>
      </c>
      <c r="D63" s="3">
        <v>35499</v>
      </c>
      <c r="E63" s="3">
        <v>35489</v>
      </c>
      <c r="F63" s="2" t="s">
        <v>10</v>
      </c>
      <c r="G63" s="4">
        <v>86.53</v>
      </c>
      <c r="H63" s="2" t="s">
        <v>54</v>
      </c>
      <c r="I63" s="2" t="s">
        <v>55</v>
      </c>
      <c r="J63" s="2" t="s">
        <v>56</v>
      </c>
      <c r="K63" s="2" t="s">
        <v>57</v>
      </c>
      <c r="L63" s="2" t="s">
        <v>15</v>
      </c>
      <c r="M63" s="4">
        <v>5793.1</v>
      </c>
      <c r="N63" s="2" t="s">
        <v>89</v>
      </c>
      <c r="O63" s="5">
        <v>208</v>
      </c>
    </row>
    <row r="64" spans="1:15">
      <c r="A64" s="2" t="s">
        <v>52</v>
      </c>
      <c r="B64" s="2" t="s">
        <v>53</v>
      </c>
      <c r="C64" s="3">
        <v>35481</v>
      </c>
      <c r="D64" s="3">
        <v>35509</v>
      </c>
      <c r="E64" s="3">
        <v>35487</v>
      </c>
      <c r="F64" s="2" t="s">
        <v>16</v>
      </c>
      <c r="G64" s="4">
        <v>140.26</v>
      </c>
      <c r="H64" s="2" t="s">
        <v>54</v>
      </c>
      <c r="I64" s="2" t="s">
        <v>55</v>
      </c>
      <c r="J64" s="2" t="s">
        <v>56</v>
      </c>
      <c r="K64" s="2" t="s">
        <v>57</v>
      </c>
      <c r="L64" s="2" t="s">
        <v>15</v>
      </c>
      <c r="M64" s="4">
        <v>2096</v>
      </c>
      <c r="N64" s="2" t="s">
        <v>89</v>
      </c>
      <c r="O64" s="5">
        <v>115</v>
      </c>
    </row>
    <row r="65" spans="1:15">
      <c r="A65" s="2" t="s">
        <v>52</v>
      </c>
      <c r="B65" s="2" t="s">
        <v>53</v>
      </c>
      <c r="C65" s="3">
        <v>35538</v>
      </c>
      <c r="D65" s="3">
        <v>35566</v>
      </c>
      <c r="E65" s="3">
        <v>35548</v>
      </c>
      <c r="F65" s="2" t="s">
        <v>17</v>
      </c>
      <c r="G65" s="4">
        <v>367.63</v>
      </c>
      <c r="H65" s="2" t="s">
        <v>54</v>
      </c>
      <c r="I65" s="2" t="s">
        <v>55</v>
      </c>
      <c r="J65" s="2" t="s">
        <v>56</v>
      </c>
      <c r="K65" s="2" t="s">
        <v>57</v>
      </c>
      <c r="L65" s="2" t="s">
        <v>15</v>
      </c>
      <c r="M65" s="4">
        <v>4735.4399999999996</v>
      </c>
      <c r="N65" s="2" t="s">
        <v>89</v>
      </c>
      <c r="O65" s="5">
        <v>72</v>
      </c>
    </row>
    <row r="66" spans="1:15">
      <c r="A66" s="2" t="s">
        <v>52</v>
      </c>
      <c r="B66" s="2" t="s">
        <v>53</v>
      </c>
      <c r="C66" s="3">
        <v>35583</v>
      </c>
      <c r="D66" s="3">
        <v>35611</v>
      </c>
      <c r="E66" s="3">
        <v>35585</v>
      </c>
      <c r="F66" s="2" t="s">
        <v>17</v>
      </c>
      <c r="G66" s="4">
        <v>252.49</v>
      </c>
      <c r="H66" s="2" t="s">
        <v>54</v>
      </c>
      <c r="I66" s="2" t="s">
        <v>55</v>
      </c>
      <c r="J66" s="2" t="s">
        <v>56</v>
      </c>
      <c r="K66" s="2" t="s">
        <v>57</v>
      </c>
      <c r="L66" s="2" t="s">
        <v>15</v>
      </c>
      <c r="M66" s="4">
        <v>3680.5</v>
      </c>
      <c r="N66" s="2" t="s">
        <v>89</v>
      </c>
      <c r="O66" s="5">
        <v>143</v>
      </c>
    </row>
    <row r="67" spans="1:15">
      <c r="A67" s="2" t="s">
        <v>52</v>
      </c>
      <c r="B67" s="2" t="s">
        <v>53</v>
      </c>
      <c r="C67" s="3">
        <v>35629</v>
      </c>
      <c r="D67" s="3">
        <v>35657</v>
      </c>
      <c r="E67" s="3">
        <v>35650</v>
      </c>
      <c r="F67" s="2" t="s">
        <v>10</v>
      </c>
      <c r="G67" s="4">
        <v>48.77</v>
      </c>
      <c r="H67" s="2" t="s">
        <v>54</v>
      </c>
      <c r="I67" s="2" t="s">
        <v>55</v>
      </c>
      <c r="J67" s="2" t="s">
        <v>56</v>
      </c>
      <c r="K67" s="2" t="s">
        <v>57</v>
      </c>
      <c r="L67" s="2" t="s">
        <v>15</v>
      </c>
      <c r="M67" s="4">
        <v>1508</v>
      </c>
      <c r="N67" s="2" t="s">
        <v>89</v>
      </c>
      <c r="O67" s="5">
        <v>73</v>
      </c>
    </row>
    <row r="68" spans="1:15">
      <c r="A68" s="2" t="s">
        <v>52</v>
      </c>
      <c r="B68" s="2" t="s">
        <v>53</v>
      </c>
      <c r="C68" s="3">
        <v>35633</v>
      </c>
      <c r="D68" s="3">
        <v>35661</v>
      </c>
      <c r="E68" s="3">
        <v>35636</v>
      </c>
      <c r="F68" s="2" t="s">
        <v>16</v>
      </c>
      <c r="G68" s="4">
        <v>200.24</v>
      </c>
      <c r="H68" s="2" t="s">
        <v>54</v>
      </c>
      <c r="I68" s="2" t="s">
        <v>55</v>
      </c>
      <c r="J68" s="2" t="s">
        <v>56</v>
      </c>
      <c r="K68" s="2" t="s">
        <v>57</v>
      </c>
      <c r="L68" s="2" t="s">
        <v>15</v>
      </c>
      <c r="M68" s="4">
        <v>6475.4</v>
      </c>
      <c r="N68" s="2" t="s">
        <v>89</v>
      </c>
      <c r="O68" s="5">
        <v>213</v>
      </c>
    </row>
    <row r="69" spans="1:15">
      <c r="A69" s="2" t="s">
        <v>52</v>
      </c>
      <c r="B69" s="2" t="s">
        <v>53</v>
      </c>
      <c r="C69" s="3">
        <v>35639</v>
      </c>
      <c r="D69" s="3">
        <v>35667</v>
      </c>
      <c r="E69" s="3">
        <v>35643</v>
      </c>
      <c r="F69" s="2" t="s">
        <v>10</v>
      </c>
      <c r="G69" s="4">
        <v>544.08000000000004</v>
      </c>
      <c r="H69" s="2" t="s">
        <v>54</v>
      </c>
      <c r="I69" s="2" t="s">
        <v>55</v>
      </c>
      <c r="J69" s="2" t="s">
        <v>56</v>
      </c>
      <c r="K69" s="2" t="s">
        <v>57</v>
      </c>
      <c r="L69" s="2" t="s">
        <v>15</v>
      </c>
      <c r="M69" s="4">
        <v>6375</v>
      </c>
      <c r="N69" s="2" t="s">
        <v>89</v>
      </c>
      <c r="O69" s="5">
        <v>263</v>
      </c>
    </row>
    <row r="70" spans="1:15">
      <c r="A70" s="2" t="s">
        <v>52</v>
      </c>
      <c r="B70" s="2" t="s">
        <v>53</v>
      </c>
      <c r="C70" s="3">
        <v>35653</v>
      </c>
      <c r="D70" s="3">
        <v>35695</v>
      </c>
      <c r="E70" s="3">
        <v>35663</v>
      </c>
      <c r="F70" s="2" t="s">
        <v>17</v>
      </c>
      <c r="G70" s="4">
        <v>107.46</v>
      </c>
      <c r="H70" s="2" t="s">
        <v>54</v>
      </c>
      <c r="I70" s="2" t="s">
        <v>55</v>
      </c>
      <c r="J70" s="2" t="s">
        <v>56</v>
      </c>
      <c r="K70" s="2" t="s">
        <v>57</v>
      </c>
      <c r="L70" s="2" t="s">
        <v>15</v>
      </c>
      <c r="M70" s="4">
        <v>1264.5</v>
      </c>
      <c r="N70" s="2" t="s">
        <v>89</v>
      </c>
      <c r="O70" s="5">
        <v>50</v>
      </c>
    </row>
    <row r="71" spans="1:15">
      <c r="A71" s="2" t="s">
        <v>52</v>
      </c>
      <c r="B71" s="2" t="s">
        <v>53</v>
      </c>
      <c r="C71" s="3">
        <v>35677</v>
      </c>
      <c r="D71" s="3">
        <v>35705</v>
      </c>
      <c r="E71" s="3">
        <v>35688</v>
      </c>
      <c r="F71" s="2" t="s">
        <v>10</v>
      </c>
      <c r="G71" s="4">
        <v>352.69</v>
      </c>
      <c r="H71" s="2" t="s">
        <v>54</v>
      </c>
      <c r="I71" s="2" t="s">
        <v>55</v>
      </c>
      <c r="J71" s="2" t="s">
        <v>56</v>
      </c>
      <c r="K71" s="2" t="s">
        <v>57</v>
      </c>
      <c r="L71" s="2" t="s">
        <v>15</v>
      </c>
      <c r="M71" s="4">
        <v>4371.6000000000004</v>
      </c>
      <c r="N71" s="2" t="s">
        <v>89</v>
      </c>
      <c r="O71" s="5">
        <v>204</v>
      </c>
    </row>
    <row r="72" spans="1:15">
      <c r="A72" s="2" t="s">
        <v>52</v>
      </c>
      <c r="B72" s="2" t="s">
        <v>53</v>
      </c>
      <c r="C72" s="3">
        <v>35696</v>
      </c>
      <c r="D72" s="3">
        <v>35724</v>
      </c>
      <c r="E72" s="3">
        <v>35719</v>
      </c>
      <c r="F72" s="2" t="s">
        <v>17</v>
      </c>
      <c r="G72" s="4">
        <v>388.98</v>
      </c>
      <c r="H72" s="2" t="s">
        <v>54</v>
      </c>
      <c r="I72" s="2" t="s">
        <v>55</v>
      </c>
      <c r="J72" s="2" t="s">
        <v>56</v>
      </c>
      <c r="K72" s="2" t="s">
        <v>57</v>
      </c>
      <c r="L72" s="2" t="s">
        <v>15</v>
      </c>
      <c r="M72" s="4">
        <v>5256.5</v>
      </c>
      <c r="N72" s="2" t="s">
        <v>89</v>
      </c>
      <c r="O72" s="5">
        <v>280</v>
      </c>
    </row>
    <row r="73" spans="1:15">
      <c r="A73" s="2" t="s">
        <v>52</v>
      </c>
      <c r="B73" s="2" t="s">
        <v>53</v>
      </c>
      <c r="C73" s="3">
        <v>35713</v>
      </c>
      <c r="D73" s="3">
        <v>35741</v>
      </c>
      <c r="E73" s="3">
        <v>35719</v>
      </c>
      <c r="F73" s="2" t="s">
        <v>16</v>
      </c>
      <c r="G73" s="4">
        <v>65.099999999999994</v>
      </c>
      <c r="H73" s="2" t="s">
        <v>54</v>
      </c>
      <c r="I73" s="2" t="s">
        <v>55</v>
      </c>
      <c r="J73" s="2" t="s">
        <v>56</v>
      </c>
      <c r="K73" s="2" t="s">
        <v>57</v>
      </c>
      <c r="L73" s="2" t="s">
        <v>15</v>
      </c>
      <c r="M73" s="4">
        <v>2048</v>
      </c>
      <c r="N73" s="2" t="s">
        <v>89</v>
      </c>
      <c r="O73" s="5">
        <v>117</v>
      </c>
    </row>
    <row r="74" spans="1:15">
      <c r="A74" s="2" t="s">
        <v>52</v>
      </c>
      <c r="B74" s="2" t="s">
        <v>53</v>
      </c>
      <c r="C74" s="3">
        <v>35724</v>
      </c>
      <c r="D74" s="3">
        <v>35766</v>
      </c>
      <c r="E74" s="3">
        <v>35732</v>
      </c>
      <c r="F74" s="2" t="s">
        <v>10</v>
      </c>
      <c r="G74" s="4">
        <v>52.41</v>
      </c>
      <c r="H74" s="2" t="s">
        <v>54</v>
      </c>
      <c r="I74" s="2" t="s">
        <v>55</v>
      </c>
      <c r="J74" s="2" t="s">
        <v>56</v>
      </c>
      <c r="K74" s="2" t="s">
        <v>57</v>
      </c>
      <c r="L74" s="2" t="s">
        <v>15</v>
      </c>
      <c r="M74" s="4">
        <v>4451.7</v>
      </c>
      <c r="N74" s="2" t="s">
        <v>89</v>
      </c>
      <c r="O74" s="5">
        <v>174</v>
      </c>
    </row>
    <row r="75" spans="1:15">
      <c r="A75" s="2" t="s">
        <v>52</v>
      </c>
      <c r="B75" s="2" t="s">
        <v>53</v>
      </c>
      <c r="C75" s="3">
        <v>35725</v>
      </c>
      <c r="D75" s="3">
        <v>35753</v>
      </c>
      <c r="E75" s="3">
        <v>35727</v>
      </c>
      <c r="F75" s="2" t="s">
        <v>16</v>
      </c>
      <c r="G75" s="4">
        <v>167.05</v>
      </c>
      <c r="H75" s="2" t="s">
        <v>54</v>
      </c>
      <c r="I75" s="2" t="s">
        <v>55</v>
      </c>
      <c r="J75" s="2" t="s">
        <v>56</v>
      </c>
      <c r="K75" s="2" t="s">
        <v>57</v>
      </c>
      <c r="L75" s="2" t="s">
        <v>15</v>
      </c>
      <c r="M75" s="4">
        <v>2827.9</v>
      </c>
      <c r="N75" s="2" t="s">
        <v>89</v>
      </c>
      <c r="O75" s="5">
        <v>182</v>
      </c>
    </row>
    <row r="76" spans="1:15">
      <c r="A76" s="2" t="s">
        <v>52</v>
      </c>
      <c r="B76" s="2" t="s">
        <v>53</v>
      </c>
      <c r="C76" s="3">
        <v>35725</v>
      </c>
      <c r="D76" s="3">
        <v>35753</v>
      </c>
      <c r="E76" s="3">
        <v>35730</v>
      </c>
      <c r="F76" s="2" t="s">
        <v>17</v>
      </c>
      <c r="G76" s="4">
        <v>24.49</v>
      </c>
      <c r="H76" s="2" t="s">
        <v>54</v>
      </c>
      <c r="I76" s="2" t="s">
        <v>55</v>
      </c>
      <c r="J76" s="2" t="s">
        <v>56</v>
      </c>
      <c r="K76" s="2" t="s">
        <v>57</v>
      </c>
      <c r="L76" s="2" t="s">
        <v>15</v>
      </c>
      <c r="M76" s="4">
        <v>2941</v>
      </c>
      <c r="N76" s="2" t="s">
        <v>89</v>
      </c>
      <c r="O76" s="5">
        <v>137</v>
      </c>
    </row>
    <row r="77" spans="1:15">
      <c r="A77" s="2" t="s">
        <v>52</v>
      </c>
      <c r="B77" s="2" t="s">
        <v>53</v>
      </c>
      <c r="C77" s="3">
        <v>35732</v>
      </c>
      <c r="D77" s="3">
        <v>35774</v>
      </c>
      <c r="E77" s="3">
        <v>35738</v>
      </c>
      <c r="F77" s="2" t="s">
        <v>16</v>
      </c>
      <c r="G77" s="4">
        <v>74.58</v>
      </c>
      <c r="H77" s="2" t="s">
        <v>54</v>
      </c>
      <c r="I77" s="2" t="s">
        <v>55</v>
      </c>
      <c r="J77" s="2" t="s">
        <v>56</v>
      </c>
      <c r="K77" s="2" t="s">
        <v>57</v>
      </c>
      <c r="L77" s="2" t="s">
        <v>15</v>
      </c>
      <c r="M77" s="4">
        <v>1570</v>
      </c>
      <c r="N77" s="2" t="s">
        <v>89</v>
      </c>
      <c r="O77" s="5">
        <v>140</v>
      </c>
    </row>
    <row r="78" spans="1:15">
      <c r="A78" s="2" t="s">
        <v>52</v>
      </c>
      <c r="B78" s="2" t="s">
        <v>53</v>
      </c>
      <c r="C78" s="3">
        <v>35754</v>
      </c>
      <c r="D78" s="3">
        <v>35782</v>
      </c>
      <c r="E78" s="3">
        <v>35762</v>
      </c>
      <c r="F78" s="2" t="s">
        <v>16</v>
      </c>
      <c r="G78" s="4">
        <v>232.55</v>
      </c>
      <c r="H78" s="2" t="s">
        <v>54</v>
      </c>
      <c r="I78" s="2" t="s">
        <v>55</v>
      </c>
      <c r="J78" s="2" t="s">
        <v>56</v>
      </c>
      <c r="K78" s="2" t="s">
        <v>57</v>
      </c>
      <c r="L78" s="2" t="s">
        <v>15</v>
      </c>
      <c r="M78" s="4">
        <v>2196</v>
      </c>
      <c r="N78" s="2" t="s">
        <v>89</v>
      </c>
      <c r="O78" s="5">
        <v>112</v>
      </c>
    </row>
    <row r="79" spans="1:15">
      <c r="A79" s="2" t="s">
        <v>52</v>
      </c>
      <c r="B79" s="2" t="s">
        <v>53</v>
      </c>
      <c r="C79" s="3">
        <v>35761</v>
      </c>
      <c r="D79" s="3">
        <v>35789</v>
      </c>
      <c r="E79" s="3">
        <v>35779</v>
      </c>
      <c r="F79" s="2" t="s">
        <v>16</v>
      </c>
      <c r="G79" s="4">
        <v>8.19</v>
      </c>
      <c r="H79" s="2" t="s">
        <v>54</v>
      </c>
      <c r="I79" s="2" t="s">
        <v>55</v>
      </c>
      <c r="J79" s="2" t="s">
        <v>56</v>
      </c>
      <c r="K79" s="2" t="s">
        <v>57</v>
      </c>
      <c r="L79" s="2" t="s">
        <v>15</v>
      </c>
      <c r="M79" s="4">
        <v>3082</v>
      </c>
      <c r="N79" s="2" t="s">
        <v>89</v>
      </c>
      <c r="O79" s="5">
        <v>91</v>
      </c>
    </row>
    <row r="80" spans="1:15">
      <c r="A80" s="2" t="s">
        <v>52</v>
      </c>
      <c r="B80" s="2" t="s">
        <v>53</v>
      </c>
      <c r="C80" s="3">
        <v>35800</v>
      </c>
      <c r="D80" s="3">
        <v>35828</v>
      </c>
      <c r="E80" s="3">
        <v>35809</v>
      </c>
      <c r="F80" s="2" t="s">
        <v>17</v>
      </c>
      <c r="G80" s="4">
        <v>14.62</v>
      </c>
      <c r="H80" s="2" t="s">
        <v>54</v>
      </c>
      <c r="I80" s="2" t="s">
        <v>55</v>
      </c>
      <c r="J80" s="2" t="s">
        <v>56</v>
      </c>
      <c r="K80" s="2" t="s">
        <v>57</v>
      </c>
      <c r="L80" s="2" t="s">
        <v>15</v>
      </c>
      <c r="M80" s="4">
        <v>40</v>
      </c>
      <c r="N80" s="2" t="s">
        <v>89</v>
      </c>
      <c r="O80" s="5">
        <v>16</v>
      </c>
    </row>
    <row r="81" spans="1:15">
      <c r="A81" s="2" t="s">
        <v>52</v>
      </c>
      <c r="B81" s="2" t="s">
        <v>53</v>
      </c>
      <c r="C81" s="3">
        <v>35817</v>
      </c>
      <c r="D81" s="3">
        <v>35831</v>
      </c>
      <c r="E81" s="3">
        <v>35836</v>
      </c>
      <c r="F81" s="2" t="s">
        <v>17</v>
      </c>
      <c r="G81" s="4">
        <v>487.57</v>
      </c>
      <c r="H81" s="2" t="s">
        <v>54</v>
      </c>
      <c r="I81" s="2" t="s">
        <v>55</v>
      </c>
      <c r="J81" s="2" t="s">
        <v>56</v>
      </c>
      <c r="K81" s="2" t="s">
        <v>57</v>
      </c>
      <c r="L81" s="2" t="s">
        <v>15</v>
      </c>
      <c r="M81" s="4">
        <v>6164.9</v>
      </c>
      <c r="N81" s="2" t="s">
        <v>90</v>
      </c>
      <c r="O81" s="5">
        <v>288</v>
      </c>
    </row>
    <row r="82" spans="1:15">
      <c r="A82" s="2" t="s">
        <v>52</v>
      </c>
      <c r="B82" s="2" t="s">
        <v>53</v>
      </c>
      <c r="C82" s="3">
        <v>35837</v>
      </c>
      <c r="D82" s="3">
        <v>35865</v>
      </c>
      <c r="E82" s="3">
        <v>35846</v>
      </c>
      <c r="F82" s="2" t="s">
        <v>17</v>
      </c>
      <c r="G82" s="4">
        <v>23.1</v>
      </c>
      <c r="H82" s="2" t="s">
        <v>54</v>
      </c>
      <c r="I82" s="2" t="s">
        <v>55</v>
      </c>
      <c r="J82" s="2" t="s">
        <v>56</v>
      </c>
      <c r="K82" s="2" t="s">
        <v>57</v>
      </c>
      <c r="L82" s="2" t="s">
        <v>15</v>
      </c>
      <c r="M82" s="4">
        <v>988.4</v>
      </c>
      <c r="N82" s="2" t="s">
        <v>89</v>
      </c>
      <c r="O82" s="5">
        <v>77</v>
      </c>
    </row>
    <row r="83" spans="1:15">
      <c r="A83" s="2" t="s">
        <v>52</v>
      </c>
      <c r="B83" s="2" t="s">
        <v>53</v>
      </c>
      <c r="C83" s="3">
        <v>35844</v>
      </c>
      <c r="D83" s="3">
        <v>35872</v>
      </c>
      <c r="E83" s="3">
        <v>35846</v>
      </c>
      <c r="F83" s="2" t="s">
        <v>16</v>
      </c>
      <c r="G83" s="4">
        <v>116.13</v>
      </c>
      <c r="H83" s="2" t="s">
        <v>54</v>
      </c>
      <c r="I83" s="2" t="s">
        <v>55</v>
      </c>
      <c r="J83" s="2" t="s">
        <v>56</v>
      </c>
      <c r="K83" s="2" t="s">
        <v>57</v>
      </c>
      <c r="L83" s="2" t="s">
        <v>15</v>
      </c>
      <c r="M83" s="4">
        <v>2898</v>
      </c>
      <c r="N83" s="2" t="s">
        <v>89</v>
      </c>
      <c r="O83" s="5">
        <v>198</v>
      </c>
    </row>
    <row r="84" spans="1:15">
      <c r="A84" s="2" t="s">
        <v>52</v>
      </c>
      <c r="B84" s="2" t="s">
        <v>53</v>
      </c>
      <c r="C84" s="3">
        <v>35865</v>
      </c>
      <c r="D84" s="3">
        <v>35893</v>
      </c>
      <c r="E84" s="3">
        <v>35874</v>
      </c>
      <c r="F84" s="2" t="s">
        <v>10</v>
      </c>
      <c r="G84" s="4">
        <v>400.81</v>
      </c>
      <c r="H84" s="2" t="s">
        <v>54</v>
      </c>
      <c r="I84" s="2" t="s">
        <v>55</v>
      </c>
      <c r="J84" s="2" t="s">
        <v>56</v>
      </c>
      <c r="K84" s="2" t="s">
        <v>57</v>
      </c>
      <c r="L84" s="2" t="s">
        <v>15</v>
      </c>
      <c r="M84" s="4">
        <v>4769</v>
      </c>
      <c r="N84" s="2" t="s">
        <v>89</v>
      </c>
      <c r="O84" s="5">
        <v>204</v>
      </c>
    </row>
    <row r="85" spans="1:15">
      <c r="A85" s="2" t="s">
        <v>52</v>
      </c>
      <c r="B85" s="2" t="s">
        <v>53</v>
      </c>
      <c r="C85" s="3">
        <v>35881</v>
      </c>
      <c r="D85" s="3">
        <v>35909</v>
      </c>
      <c r="E85" s="3">
        <v>35891</v>
      </c>
      <c r="F85" s="2" t="s">
        <v>10</v>
      </c>
      <c r="G85" s="4">
        <v>657.54</v>
      </c>
      <c r="H85" s="2" t="s">
        <v>54</v>
      </c>
      <c r="I85" s="2" t="s">
        <v>55</v>
      </c>
      <c r="J85" s="2" t="s">
        <v>56</v>
      </c>
      <c r="K85" s="2" t="s">
        <v>57</v>
      </c>
      <c r="L85" s="2" t="s">
        <v>15</v>
      </c>
      <c r="M85" s="4">
        <v>796.5</v>
      </c>
      <c r="N85" s="2" t="s">
        <v>89</v>
      </c>
      <c r="O85" s="5">
        <v>99</v>
      </c>
    </row>
    <row r="86" spans="1:15">
      <c r="A86" s="2" t="s">
        <v>52</v>
      </c>
      <c r="B86" s="2" t="s">
        <v>53</v>
      </c>
      <c r="C86" s="3">
        <v>35884</v>
      </c>
      <c r="D86" s="3">
        <v>35912</v>
      </c>
      <c r="E86" s="3">
        <v>35888</v>
      </c>
      <c r="F86" s="2" t="s">
        <v>17</v>
      </c>
      <c r="G86" s="4">
        <v>211.22</v>
      </c>
      <c r="H86" s="2" t="s">
        <v>54</v>
      </c>
      <c r="I86" s="2" t="s">
        <v>55</v>
      </c>
      <c r="J86" s="2" t="s">
        <v>56</v>
      </c>
      <c r="K86" s="2" t="s">
        <v>57</v>
      </c>
      <c r="L86" s="2" t="s">
        <v>15</v>
      </c>
      <c r="M86" s="4">
        <v>1809.75</v>
      </c>
      <c r="N86" s="2" t="s">
        <v>89</v>
      </c>
      <c r="O86" s="5">
        <v>115</v>
      </c>
    </row>
    <row r="87" spans="1:15">
      <c r="A87" s="2" t="s">
        <v>52</v>
      </c>
      <c r="B87" s="2" t="s">
        <v>53</v>
      </c>
      <c r="C87" s="3">
        <v>35891</v>
      </c>
      <c r="D87" s="3">
        <v>35919</v>
      </c>
      <c r="E87" s="3">
        <v>35901</v>
      </c>
      <c r="F87" s="2" t="s">
        <v>16</v>
      </c>
      <c r="G87" s="4">
        <v>141.16</v>
      </c>
      <c r="H87" s="2" t="s">
        <v>54</v>
      </c>
      <c r="I87" s="2" t="s">
        <v>55</v>
      </c>
      <c r="J87" s="2" t="s">
        <v>56</v>
      </c>
      <c r="K87" s="2" t="s">
        <v>57</v>
      </c>
      <c r="L87" s="2" t="s">
        <v>15</v>
      </c>
      <c r="M87" s="4">
        <v>1902</v>
      </c>
      <c r="N87" s="2" t="s">
        <v>89</v>
      </c>
      <c r="O87" s="5">
        <v>135</v>
      </c>
    </row>
    <row r="88" spans="1:15">
      <c r="A88" s="2" t="s">
        <v>52</v>
      </c>
      <c r="B88" s="2" t="s">
        <v>53</v>
      </c>
      <c r="C88" s="3">
        <v>35902</v>
      </c>
      <c r="D88" s="3">
        <v>35930</v>
      </c>
      <c r="E88" s="3">
        <v>35909</v>
      </c>
      <c r="F88" s="2" t="s">
        <v>10</v>
      </c>
      <c r="G88" s="4">
        <v>227.22</v>
      </c>
      <c r="H88" s="2" t="s">
        <v>54</v>
      </c>
      <c r="I88" s="2" t="s">
        <v>55</v>
      </c>
      <c r="J88" s="2" t="s">
        <v>56</v>
      </c>
      <c r="K88" s="2" t="s">
        <v>57</v>
      </c>
      <c r="L88" s="2" t="s">
        <v>15</v>
      </c>
      <c r="M88" s="4">
        <v>2393.5</v>
      </c>
      <c r="N88" s="2" t="s">
        <v>89</v>
      </c>
      <c r="O88" s="5">
        <v>182</v>
      </c>
    </row>
    <row r="89" spans="1:15">
      <c r="A89" s="2" t="s">
        <v>52</v>
      </c>
      <c r="B89" s="2" t="s">
        <v>53</v>
      </c>
      <c r="C89" s="3">
        <v>35902</v>
      </c>
      <c r="D89" s="3">
        <v>35930</v>
      </c>
      <c r="E89" s="3">
        <v>35912</v>
      </c>
      <c r="F89" s="2" t="s">
        <v>10</v>
      </c>
      <c r="G89" s="4">
        <v>830.75</v>
      </c>
      <c r="H89" s="2" t="s">
        <v>54</v>
      </c>
      <c r="I89" s="2" t="s">
        <v>55</v>
      </c>
      <c r="J89" s="2" t="s">
        <v>56</v>
      </c>
      <c r="K89" s="2" t="s">
        <v>57</v>
      </c>
      <c r="L89" s="2" t="s">
        <v>15</v>
      </c>
      <c r="M89" s="4">
        <v>16321.9</v>
      </c>
      <c r="N89" s="2" t="s">
        <v>89</v>
      </c>
      <c r="O89" s="5">
        <v>330</v>
      </c>
    </row>
    <row r="90" spans="1:15">
      <c r="A90" s="2" t="s">
        <v>52</v>
      </c>
      <c r="B90" s="2" t="s">
        <v>53</v>
      </c>
      <c r="C90" s="3">
        <v>35916</v>
      </c>
      <c r="D90" s="3">
        <v>35944</v>
      </c>
      <c r="E90" s="3">
        <v>35919</v>
      </c>
      <c r="F90" s="2" t="s">
        <v>16</v>
      </c>
      <c r="G90" s="4">
        <v>30.09</v>
      </c>
      <c r="H90" s="2" t="s">
        <v>54</v>
      </c>
      <c r="I90" s="2" t="s">
        <v>55</v>
      </c>
      <c r="J90" s="2" t="s">
        <v>56</v>
      </c>
      <c r="K90" s="2" t="s">
        <v>57</v>
      </c>
      <c r="L90" s="2" t="s">
        <v>15</v>
      </c>
      <c r="M90" s="4">
        <v>4722.3</v>
      </c>
      <c r="N90" s="2" t="s">
        <v>89</v>
      </c>
      <c r="O90" s="5">
        <v>173</v>
      </c>
    </row>
    <row r="91" spans="1:15">
      <c r="A91" s="2" t="s">
        <v>58</v>
      </c>
      <c r="B91" s="2" t="s">
        <v>59</v>
      </c>
      <c r="C91" s="3">
        <v>35278</v>
      </c>
      <c r="D91" s="3">
        <v>35306</v>
      </c>
      <c r="E91" s="3">
        <v>35307</v>
      </c>
      <c r="F91" s="2" t="s">
        <v>10</v>
      </c>
      <c r="G91" s="4">
        <v>4.54</v>
      </c>
      <c r="H91" s="2" t="s">
        <v>60</v>
      </c>
      <c r="I91" s="2" t="s">
        <v>61</v>
      </c>
      <c r="J91" s="2" t="s">
        <v>62</v>
      </c>
      <c r="K91" s="2" t="s">
        <v>63</v>
      </c>
      <c r="L91" s="2" t="s">
        <v>15</v>
      </c>
      <c r="M91" s="4">
        <v>48</v>
      </c>
      <c r="N91" s="2" t="s">
        <v>90</v>
      </c>
      <c r="O91" s="5">
        <v>24</v>
      </c>
    </row>
    <row r="92" spans="1:15">
      <c r="A92" s="2" t="s">
        <v>58</v>
      </c>
      <c r="B92" s="2" t="s">
        <v>59</v>
      </c>
      <c r="C92" s="3">
        <v>35353</v>
      </c>
      <c r="D92" s="3">
        <v>35395</v>
      </c>
      <c r="E92" s="3">
        <v>35361</v>
      </c>
      <c r="F92" s="2" t="s">
        <v>10</v>
      </c>
      <c r="G92" s="4">
        <v>191.67</v>
      </c>
      <c r="H92" s="2" t="s">
        <v>60</v>
      </c>
      <c r="I92" s="2" t="s">
        <v>61</v>
      </c>
      <c r="J92" s="2" t="s">
        <v>62</v>
      </c>
      <c r="K92" s="2" t="s">
        <v>63</v>
      </c>
      <c r="L92" s="2" t="s">
        <v>15</v>
      </c>
      <c r="M92" s="4">
        <v>4819.3999999999996</v>
      </c>
      <c r="N92" s="2" t="s">
        <v>89</v>
      </c>
      <c r="O92" s="5">
        <v>50</v>
      </c>
    </row>
    <row r="93" spans="1:15">
      <c r="A93" s="2" t="s">
        <v>58</v>
      </c>
      <c r="B93" s="2" t="s">
        <v>59</v>
      </c>
      <c r="C93" s="3">
        <v>35377</v>
      </c>
      <c r="D93" s="3">
        <v>35405</v>
      </c>
      <c r="E93" s="3">
        <v>35384</v>
      </c>
      <c r="F93" s="2" t="s">
        <v>16</v>
      </c>
      <c r="G93" s="4">
        <v>8.6300000000000008</v>
      </c>
      <c r="H93" s="2" t="s">
        <v>60</v>
      </c>
      <c r="I93" s="2" t="s">
        <v>61</v>
      </c>
      <c r="J93" s="2" t="s">
        <v>62</v>
      </c>
      <c r="K93" s="2" t="s">
        <v>63</v>
      </c>
      <c r="L93" s="2" t="s">
        <v>15</v>
      </c>
      <c r="M93" s="4">
        <v>141.6</v>
      </c>
      <c r="N93" s="2" t="s">
        <v>89</v>
      </c>
      <c r="O93" s="5">
        <v>24</v>
      </c>
    </row>
    <row r="94" spans="1:15">
      <c r="A94" s="2" t="s">
        <v>58</v>
      </c>
      <c r="B94" s="2" t="s">
        <v>59</v>
      </c>
      <c r="C94" s="3">
        <v>35401</v>
      </c>
      <c r="D94" s="3">
        <v>35429</v>
      </c>
      <c r="E94" s="3">
        <v>35408</v>
      </c>
      <c r="F94" s="2" t="s">
        <v>10</v>
      </c>
      <c r="G94" s="4">
        <v>195.68</v>
      </c>
      <c r="H94" s="2" t="s">
        <v>60</v>
      </c>
      <c r="I94" s="2" t="s">
        <v>61</v>
      </c>
      <c r="J94" s="2" t="s">
        <v>62</v>
      </c>
      <c r="K94" s="2" t="s">
        <v>63</v>
      </c>
      <c r="L94" s="2" t="s">
        <v>15</v>
      </c>
      <c r="M94" s="4">
        <v>2527.1999999999998</v>
      </c>
      <c r="N94" s="2" t="s">
        <v>89</v>
      </c>
      <c r="O94" s="5">
        <v>38</v>
      </c>
    </row>
    <row r="95" spans="1:15">
      <c r="A95" s="2" t="s">
        <v>58</v>
      </c>
      <c r="B95" s="2" t="s">
        <v>59</v>
      </c>
      <c r="C95" s="3">
        <v>35416</v>
      </c>
      <c r="D95" s="3">
        <v>35444</v>
      </c>
      <c r="E95" s="3">
        <v>35422</v>
      </c>
      <c r="F95" s="2" t="s">
        <v>10</v>
      </c>
      <c r="G95" s="4">
        <v>30.96</v>
      </c>
      <c r="H95" s="2" t="s">
        <v>60</v>
      </c>
      <c r="I95" s="2" t="s">
        <v>61</v>
      </c>
      <c r="J95" s="2" t="s">
        <v>62</v>
      </c>
      <c r="K95" s="2" t="s">
        <v>63</v>
      </c>
      <c r="L95" s="2" t="s">
        <v>15</v>
      </c>
      <c r="M95" s="4">
        <v>864</v>
      </c>
      <c r="N95" s="2" t="s">
        <v>89</v>
      </c>
      <c r="O95" s="5">
        <v>38</v>
      </c>
    </row>
    <row r="96" spans="1:15">
      <c r="A96" s="2" t="s">
        <v>58</v>
      </c>
      <c r="B96" s="2" t="s">
        <v>59</v>
      </c>
      <c r="C96" s="3">
        <v>35461</v>
      </c>
      <c r="D96" s="3">
        <v>35475</v>
      </c>
      <c r="E96" s="3">
        <v>35468</v>
      </c>
      <c r="F96" s="2" t="s">
        <v>10</v>
      </c>
      <c r="G96" s="4">
        <v>4.34</v>
      </c>
      <c r="H96" s="2" t="s">
        <v>60</v>
      </c>
      <c r="I96" s="2" t="s">
        <v>61</v>
      </c>
      <c r="J96" s="2" t="s">
        <v>62</v>
      </c>
      <c r="K96" s="2" t="s">
        <v>63</v>
      </c>
      <c r="L96" s="2" t="s">
        <v>15</v>
      </c>
      <c r="M96" s="4">
        <v>485</v>
      </c>
      <c r="N96" s="2" t="s">
        <v>89</v>
      </c>
      <c r="O96" s="5">
        <v>50</v>
      </c>
    </row>
    <row r="97" spans="1:15">
      <c r="A97" s="2" t="s">
        <v>58</v>
      </c>
      <c r="B97" s="2" t="s">
        <v>59</v>
      </c>
      <c r="C97" s="3">
        <v>35761</v>
      </c>
      <c r="D97" s="3">
        <v>35789</v>
      </c>
      <c r="E97" s="3">
        <v>35766</v>
      </c>
      <c r="F97" s="2" t="s">
        <v>10</v>
      </c>
      <c r="G97" s="4">
        <v>73.209999999999994</v>
      </c>
      <c r="H97" s="2" t="s">
        <v>60</v>
      </c>
      <c r="I97" s="2" t="s">
        <v>61</v>
      </c>
      <c r="J97" s="2" t="s">
        <v>62</v>
      </c>
      <c r="K97" s="2" t="s">
        <v>63</v>
      </c>
      <c r="L97" s="2" t="s">
        <v>15</v>
      </c>
      <c r="M97" s="4">
        <v>2487.5</v>
      </c>
      <c r="N97" s="2" t="s">
        <v>89</v>
      </c>
      <c r="O97" s="5">
        <v>67</v>
      </c>
    </row>
    <row r="98" spans="1:15">
      <c r="A98" s="2" t="s">
        <v>58</v>
      </c>
      <c r="B98" s="2" t="s">
        <v>59</v>
      </c>
      <c r="C98" s="3">
        <v>35803</v>
      </c>
      <c r="D98" s="3">
        <v>35831</v>
      </c>
      <c r="E98" s="3">
        <v>35810</v>
      </c>
      <c r="F98" s="2" t="s">
        <v>16</v>
      </c>
      <c r="G98" s="4">
        <v>36.68</v>
      </c>
      <c r="H98" s="2" t="s">
        <v>60</v>
      </c>
      <c r="I98" s="2" t="s">
        <v>61</v>
      </c>
      <c r="J98" s="2" t="s">
        <v>62</v>
      </c>
      <c r="K98" s="2" t="s">
        <v>63</v>
      </c>
      <c r="L98" s="2" t="s">
        <v>15</v>
      </c>
      <c r="M98" s="4">
        <v>678</v>
      </c>
      <c r="N98" s="2" t="s">
        <v>89</v>
      </c>
      <c r="O98" s="5">
        <v>26</v>
      </c>
    </row>
    <row r="99" spans="1:15">
      <c r="A99" s="2" t="s">
        <v>58</v>
      </c>
      <c r="B99" s="2" t="s">
        <v>59</v>
      </c>
      <c r="C99" s="3">
        <v>35879</v>
      </c>
      <c r="D99" s="3">
        <v>35893</v>
      </c>
      <c r="E99" s="3">
        <v>35888</v>
      </c>
      <c r="F99" s="2" t="s">
        <v>17</v>
      </c>
      <c r="G99" s="4">
        <v>12.96</v>
      </c>
      <c r="H99" s="2" t="s">
        <v>60</v>
      </c>
      <c r="I99" s="2" t="s">
        <v>61</v>
      </c>
      <c r="J99" s="2" t="s">
        <v>62</v>
      </c>
      <c r="K99" s="2" t="s">
        <v>63</v>
      </c>
      <c r="L99" s="2" t="s">
        <v>15</v>
      </c>
      <c r="M99" s="4">
        <v>439</v>
      </c>
      <c r="N99" s="2" t="s">
        <v>89</v>
      </c>
      <c r="O99" s="5">
        <v>10</v>
      </c>
    </row>
    <row r="100" spans="1:15" ht="28.8">
      <c r="A100" s="2" t="s">
        <v>64</v>
      </c>
      <c r="B100" s="2" t="s">
        <v>65</v>
      </c>
      <c r="C100" s="3">
        <v>35328</v>
      </c>
      <c r="D100" s="3">
        <v>35356</v>
      </c>
      <c r="E100" s="3">
        <v>35335</v>
      </c>
      <c r="F100" s="2" t="s">
        <v>10</v>
      </c>
      <c r="G100" s="4">
        <v>17.52</v>
      </c>
      <c r="H100" s="2" t="s">
        <v>66</v>
      </c>
      <c r="I100" s="2" t="s">
        <v>38</v>
      </c>
      <c r="J100" s="2" t="s">
        <v>13</v>
      </c>
      <c r="K100" s="2" t="s">
        <v>67</v>
      </c>
      <c r="L100" s="2" t="s">
        <v>15</v>
      </c>
      <c r="M100" s="4">
        <v>336</v>
      </c>
      <c r="N100" s="2" t="s">
        <v>89</v>
      </c>
      <c r="O100" s="5">
        <v>15</v>
      </c>
    </row>
    <row r="101" spans="1:15" ht="28.8">
      <c r="A101" s="2" t="s">
        <v>64</v>
      </c>
      <c r="B101" s="2" t="s">
        <v>65</v>
      </c>
      <c r="C101" s="3">
        <v>35720</v>
      </c>
      <c r="D101" s="3">
        <v>35762</v>
      </c>
      <c r="E101" s="3">
        <v>35739</v>
      </c>
      <c r="F101" s="2" t="s">
        <v>10</v>
      </c>
      <c r="G101" s="4">
        <v>2.96</v>
      </c>
      <c r="H101" s="2" t="s">
        <v>66</v>
      </c>
      <c r="I101" s="2" t="s">
        <v>38</v>
      </c>
      <c r="J101" s="2" t="s">
        <v>13</v>
      </c>
      <c r="K101" s="2" t="s">
        <v>67</v>
      </c>
      <c r="L101" s="2" t="s">
        <v>15</v>
      </c>
      <c r="M101" s="4">
        <v>180.4</v>
      </c>
      <c r="N101" s="2" t="s">
        <v>89</v>
      </c>
      <c r="O101" s="5">
        <v>9</v>
      </c>
    </row>
    <row r="102" spans="1:15" ht="28.8">
      <c r="A102" s="2" t="s">
        <v>64</v>
      </c>
      <c r="B102" s="2" t="s">
        <v>65</v>
      </c>
      <c r="C102" s="3">
        <v>35794</v>
      </c>
      <c r="D102" s="3">
        <v>35822</v>
      </c>
      <c r="E102" s="3">
        <v>35804</v>
      </c>
      <c r="F102" s="2" t="s">
        <v>17</v>
      </c>
      <c r="G102" s="4">
        <v>237.34</v>
      </c>
      <c r="H102" s="2" t="s">
        <v>66</v>
      </c>
      <c r="I102" s="2" t="s">
        <v>38</v>
      </c>
      <c r="J102" s="2" t="s">
        <v>13</v>
      </c>
      <c r="K102" s="2" t="s">
        <v>67</v>
      </c>
      <c r="L102" s="2" t="s">
        <v>15</v>
      </c>
      <c r="M102" s="4">
        <v>2775</v>
      </c>
      <c r="N102" s="2" t="s">
        <v>89</v>
      </c>
      <c r="O102" s="5">
        <v>20</v>
      </c>
    </row>
    <row r="103" spans="1:15" ht="28.8">
      <c r="A103" s="2" t="s">
        <v>64</v>
      </c>
      <c r="B103" s="2" t="s">
        <v>65</v>
      </c>
      <c r="C103" s="3">
        <v>35886</v>
      </c>
      <c r="D103" s="3">
        <v>35914</v>
      </c>
      <c r="E103" s="3">
        <v>35888</v>
      </c>
      <c r="F103" s="2" t="s">
        <v>17</v>
      </c>
      <c r="G103" s="4">
        <v>4.2699999999999996</v>
      </c>
      <c r="H103" s="2" t="s">
        <v>66</v>
      </c>
      <c r="I103" s="2" t="s">
        <v>38</v>
      </c>
      <c r="J103" s="2" t="s">
        <v>13</v>
      </c>
      <c r="K103" s="2" t="s">
        <v>67</v>
      </c>
      <c r="L103" s="2" t="s">
        <v>15</v>
      </c>
      <c r="M103" s="4">
        <v>69.599999999999994</v>
      </c>
      <c r="N103" s="2" t="s">
        <v>89</v>
      </c>
      <c r="O103" s="5">
        <v>2</v>
      </c>
    </row>
    <row r="104" spans="1:15">
      <c r="A104" s="2" t="s">
        <v>68</v>
      </c>
      <c r="B104" s="2" t="s">
        <v>69</v>
      </c>
      <c r="C104" s="3">
        <v>35649</v>
      </c>
      <c r="D104" s="3">
        <v>35677</v>
      </c>
      <c r="E104" s="3">
        <v>35661</v>
      </c>
      <c r="F104" s="2" t="s">
        <v>10</v>
      </c>
      <c r="G104" s="4">
        <v>94.8</v>
      </c>
      <c r="H104" s="2" t="s">
        <v>70</v>
      </c>
      <c r="I104" s="2" t="s">
        <v>71</v>
      </c>
      <c r="J104" s="2" t="s">
        <v>72</v>
      </c>
      <c r="K104" s="2" t="s">
        <v>73</v>
      </c>
      <c r="L104" s="2" t="s">
        <v>15</v>
      </c>
      <c r="M104" s="4">
        <v>1393.24</v>
      </c>
      <c r="N104" s="2" t="s">
        <v>89</v>
      </c>
      <c r="O104" s="5">
        <v>26</v>
      </c>
    </row>
    <row r="105" spans="1:15">
      <c r="A105" s="2" t="s">
        <v>68</v>
      </c>
      <c r="B105" s="2" t="s">
        <v>69</v>
      </c>
      <c r="C105" s="3">
        <v>35776</v>
      </c>
      <c r="D105" s="3">
        <v>35804</v>
      </c>
      <c r="E105" s="3">
        <v>35790</v>
      </c>
      <c r="F105" s="2" t="s">
        <v>16</v>
      </c>
      <c r="G105" s="4">
        <v>20.25</v>
      </c>
      <c r="H105" s="2" t="s">
        <v>70</v>
      </c>
      <c r="I105" s="2" t="s">
        <v>71</v>
      </c>
      <c r="J105" s="2" t="s">
        <v>72</v>
      </c>
      <c r="K105" s="2" t="s">
        <v>73</v>
      </c>
      <c r="L105" s="2" t="s">
        <v>15</v>
      </c>
      <c r="M105" s="4">
        <v>228</v>
      </c>
      <c r="N105" s="2" t="s">
        <v>89</v>
      </c>
      <c r="O105" s="5">
        <v>9</v>
      </c>
    </row>
    <row r="106" spans="1:15">
      <c r="A106" s="2" t="s">
        <v>68</v>
      </c>
      <c r="B106" s="2" t="s">
        <v>69</v>
      </c>
      <c r="C106" s="3">
        <v>35891</v>
      </c>
      <c r="D106" s="3">
        <v>35919</v>
      </c>
      <c r="E106" s="3">
        <v>35893</v>
      </c>
      <c r="F106" s="2" t="s">
        <v>17</v>
      </c>
      <c r="G106" s="4">
        <v>14.91</v>
      </c>
      <c r="H106" s="2" t="s">
        <v>70</v>
      </c>
      <c r="I106" s="2" t="s">
        <v>71</v>
      </c>
      <c r="J106" s="2" t="s">
        <v>72</v>
      </c>
      <c r="K106" s="2" t="s">
        <v>73</v>
      </c>
      <c r="L106" s="2" t="s">
        <v>15</v>
      </c>
      <c r="M106" s="4">
        <v>326</v>
      </c>
      <c r="N106" s="2" t="s">
        <v>89</v>
      </c>
      <c r="O106" s="5">
        <v>24</v>
      </c>
    </row>
    <row r="107" spans="1:15">
      <c r="A107" s="2" t="s">
        <v>74</v>
      </c>
      <c r="B107" s="2" t="s">
        <v>75</v>
      </c>
      <c r="C107" s="3">
        <v>35600</v>
      </c>
      <c r="D107" s="3">
        <v>35628</v>
      </c>
      <c r="E107" s="3">
        <v>35611</v>
      </c>
      <c r="F107" s="2" t="s">
        <v>10</v>
      </c>
      <c r="G107" s="4">
        <v>37.6</v>
      </c>
      <c r="H107" s="2" t="s">
        <v>76</v>
      </c>
      <c r="I107" s="2" t="s">
        <v>77</v>
      </c>
      <c r="J107" s="2" t="s">
        <v>27</v>
      </c>
      <c r="K107" s="2" t="s">
        <v>78</v>
      </c>
      <c r="L107" s="2" t="s">
        <v>15</v>
      </c>
      <c r="M107" s="4">
        <v>764.3</v>
      </c>
      <c r="N107" s="2" t="s">
        <v>89</v>
      </c>
      <c r="O107" s="5">
        <v>32</v>
      </c>
    </row>
    <row r="108" spans="1:15">
      <c r="A108" s="2" t="s">
        <v>74</v>
      </c>
      <c r="B108" s="2" t="s">
        <v>75</v>
      </c>
      <c r="C108" s="3">
        <v>35604</v>
      </c>
      <c r="D108" s="3">
        <v>35646</v>
      </c>
      <c r="E108" s="3">
        <v>35611</v>
      </c>
      <c r="F108" s="2" t="s">
        <v>10</v>
      </c>
      <c r="G108" s="4">
        <v>25.41</v>
      </c>
      <c r="H108" s="2" t="s">
        <v>76</v>
      </c>
      <c r="I108" s="2" t="s">
        <v>77</v>
      </c>
      <c r="J108" s="2" t="s">
        <v>27</v>
      </c>
      <c r="K108" s="2" t="s">
        <v>78</v>
      </c>
      <c r="L108" s="2" t="s">
        <v>15</v>
      </c>
      <c r="M108" s="4">
        <v>569</v>
      </c>
      <c r="N108" s="2" t="s">
        <v>89</v>
      </c>
      <c r="O108" s="5">
        <v>48</v>
      </c>
    </row>
    <row r="109" spans="1:15">
      <c r="A109" s="2" t="s">
        <v>74</v>
      </c>
      <c r="B109" s="2" t="s">
        <v>75</v>
      </c>
      <c r="C109" s="3">
        <v>35803</v>
      </c>
      <c r="D109" s="3">
        <v>35831</v>
      </c>
      <c r="E109" s="3">
        <v>35811</v>
      </c>
      <c r="F109" s="2" t="s">
        <v>17</v>
      </c>
      <c r="G109" s="4">
        <v>7</v>
      </c>
      <c r="H109" s="2" t="s">
        <v>76</v>
      </c>
      <c r="I109" s="2" t="s">
        <v>77</v>
      </c>
      <c r="J109" s="2" t="s">
        <v>27</v>
      </c>
      <c r="K109" s="2" t="s">
        <v>78</v>
      </c>
      <c r="L109" s="2" t="s">
        <v>15</v>
      </c>
      <c r="M109" s="4">
        <v>237.9</v>
      </c>
      <c r="N109" s="2" t="s">
        <v>89</v>
      </c>
      <c r="O109" s="5">
        <v>9</v>
      </c>
    </row>
    <row r="110" spans="1:15">
      <c r="A110" s="2" t="s">
        <v>79</v>
      </c>
      <c r="B110" s="2" t="s">
        <v>80</v>
      </c>
      <c r="C110" s="3">
        <v>35277</v>
      </c>
      <c r="D110" s="3">
        <v>35291</v>
      </c>
      <c r="E110" s="3">
        <v>35286</v>
      </c>
      <c r="F110" s="2" t="s">
        <v>16</v>
      </c>
      <c r="G110" s="4">
        <v>4.5599999999999996</v>
      </c>
      <c r="H110" s="2" t="s">
        <v>93</v>
      </c>
      <c r="I110" s="2" t="s">
        <v>81</v>
      </c>
      <c r="J110" s="2" t="s">
        <v>27</v>
      </c>
      <c r="K110" s="2" t="s">
        <v>94</v>
      </c>
      <c r="L110" s="2" t="s">
        <v>15</v>
      </c>
      <c r="M110" s="4">
        <v>676</v>
      </c>
      <c r="N110" s="2" t="s">
        <v>89</v>
      </c>
      <c r="O110" s="5">
        <v>80</v>
      </c>
    </row>
    <row r="111" spans="1:15">
      <c r="A111" s="2" t="s">
        <v>79</v>
      </c>
      <c r="B111" s="2" t="s">
        <v>80</v>
      </c>
      <c r="C111" s="3">
        <v>35370</v>
      </c>
      <c r="D111" s="3">
        <v>35398</v>
      </c>
      <c r="E111" s="3">
        <v>35374</v>
      </c>
      <c r="F111" s="2" t="s">
        <v>10</v>
      </c>
      <c r="G111" s="4">
        <v>23.29</v>
      </c>
      <c r="H111" s="2" t="s">
        <v>93</v>
      </c>
      <c r="I111" s="2" t="s">
        <v>81</v>
      </c>
      <c r="J111" s="2" t="s">
        <v>27</v>
      </c>
      <c r="K111" s="2" t="s">
        <v>94</v>
      </c>
      <c r="L111" s="2" t="s">
        <v>15</v>
      </c>
      <c r="M111" s="4">
        <v>2856</v>
      </c>
      <c r="N111" s="2" t="s">
        <v>89</v>
      </c>
      <c r="O111" s="5">
        <v>105</v>
      </c>
    </row>
    <row r="112" spans="1:15">
      <c r="A112" s="2" t="s">
        <v>79</v>
      </c>
      <c r="B112" s="2" t="s">
        <v>80</v>
      </c>
      <c r="C112" s="3">
        <v>35499</v>
      </c>
      <c r="D112" s="3">
        <v>35527</v>
      </c>
      <c r="E112" s="3">
        <v>35503</v>
      </c>
      <c r="F112" s="2" t="s">
        <v>16</v>
      </c>
      <c r="G112" s="4">
        <v>60.18</v>
      </c>
      <c r="H112" s="2" t="s">
        <v>93</v>
      </c>
      <c r="I112" s="2" t="s">
        <v>81</v>
      </c>
      <c r="J112" s="2" t="s">
        <v>27</v>
      </c>
      <c r="K112" s="2" t="s">
        <v>94</v>
      </c>
      <c r="L112" s="2" t="s">
        <v>15</v>
      </c>
      <c r="M112" s="4">
        <v>1125.5</v>
      </c>
      <c r="N112" s="2" t="s">
        <v>89</v>
      </c>
      <c r="O112" s="5">
        <v>77</v>
      </c>
    </row>
    <row r="113" spans="1:15">
      <c r="A113" s="2" t="s">
        <v>79</v>
      </c>
      <c r="B113" s="2" t="s">
        <v>80</v>
      </c>
      <c r="C113" s="3">
        <v>35513</v>
      </c>
      <c r="D113" s="3">
        <v>35541</v>
      </c>
      <c r="E113" s="3">
        <v>35545</v>
      </c>
      <c r="F113" s="2" t="s">
        <v>10</v>
      </c>
      <c r="G113" s="4">
        <v>15.28</v>
      </c>
      <c r="H113" s="2" t="s">
        <v>93</v>
      </c>
      <c r="I113" s="2" t="s">
        <v>81</v>
      </c>
      <c r="J113" s="2" t="s">
        <v>27</v>
      </c>
      <c r="K113" s="2" t="s">
        <v>94</v>
      </c>
      <c r="L113" s="2" t="s">
        <v>15</v>
      </c>
      <c r="M113" s="4">
        <v>704</v>
      </c>
      <c r="N113" s="2" t="s">
        <v>90</v>
      </c>
      <c r="O113" s="5">
        <v>65</v>
      </c>
    </row>
    <row r="114" spans="1:15">
      <c r="A114" s="2" t="s">
        <v>79</v>
      </c>
      <c r="B114" s="2" t="s">
        <v>80</v>
      </c>
      <c r="C114" s="3">
        <v>35531</v>
      </c>
      <c r="D114" s="3">
        <v>35559</v>
      </c>
      <c r="E114" s="3">
        <v>35538</v>
      </c>
      <c r="F114" s="2" t="s">
        <v>17</v>
      </c>
      <c r="G114" s="4">
        <v>59.13</v>
      </c>
      <c r="H114" s="2" t="s">
        <v>93</v>
      </c>
      <c r="I114" s="2" t="s">
        <v>81</v>
      </c>
      <c r="J114" s="2" t="s">
        <v>27</v>
      </c>
      <c r="K114" s="2" t="s">
        <v>94</v>
      </c>
      <c r="L114" s="2" t="s">
        <v>15</v>
      </c>
      <c r="M114" s="4">
        <v>1388.5</v>
      </c>
      <c r="N114" s="2" t="s">
        <v>89</v>
      </c>
      <c r="O114" s="5">
        <v>59</v>
      </c>
    </row>
    <row r="115" spans="1:15">
      <c r="A115" s="2" t="s">
        <v>79</v>
      </c>
      <c r="B115" s="2" t="s">
        <v>80</v>
      </c>
      <c r="C115" s="3">
        <v>35622</v>
      </c>
      <c r="D115" s="3">
        <v>35650</v>
      </c>
      <c r="E115" s="3">
        <v>35654</v>
      </c>
      <c r="F115" s="2" t="s">
        <v>16</v>
      </c>
      <c r="G115" s="4">
        <v>16.34</v>
      </c>
      <c r="H115" s="2" t="s">
        <v>93</v>
      </c>
      <c r="I115" s="2" t="s">
        <v>81</v>
      </c>
      <c r="J115" s="2" t="s">
        <v>27</v>
      </c>
      <c r="K115" s="2" t="s">
        <v>94</v>
      </c>
      <c r="L115" s="2" t="s">
        <v>15</v>
      </c>
      <c r="M115" s="4">
        <v>1476.1</v>
      </c>
      <c r="N115" s="2" t="s">
        <v>90</v>
      </c>
      <c r="O115" s="5">
        <v>59</v>
      </c>
    </row>
    <row r="116" spans="1:15">
      <c r="A116" s="2" t="s">
        <v>79</v>
      </c>
      <c r="B116" s="2" t="s">
        <v>80</v>
      </c>
      <c r="C116" s="3">
        <v>35709</v>
      </c>
      <c r="D116" s="3">
        <v>35723</v>
      </c>
      <c r="E116" s="3">
        <v>35713</v>
      </c>
      <c r="F116" s="2" t="s">
        <v>17</v>
      </c>
      <c r="G116" s="4">
        <v>139.34</v>
      </c>
      <c r="H116" s="2" t="s">
        <v>93</v>
      </c>
      <c r="I116" s="2" t="s">
        <v>81</v>
      </c>
      <c r="J116" s="2" t="s">
        <v>27</v>
      </c>
      <c r="K116" s="2" t="s">
        <v>94</v>
      </c>
      <c r="L116" s="2" t="s">
        <v>15</v>
      </c>
      <c r="M116" s="4">
        <v>2334</v>
      </c>
      <c r="N116" s="2" t="s">
        <v>89</v>
      </c>
      <c r="O116" s="5">
        <v>111</v>
      </c>
    </row>
    <row r="117" spans="1:15">
      <c r="A117" s="2" t="s">
        <v>79</v>
      </c>
      <c r="B117" s="2" t="s">
        <v>80</v>
      </c>
      <c r="C117" s="3">
        <v>35711</v>
      </c>
      <c r="D117" s="3">
        <v>35753</v>
      </c>
      <c r="E117" s="3">
        <v>35717</v>
      </c>
      <c r="F117" s="2" t="s">
        <v>17</v>
      </c>
      <c r="G117" s="4">
        <v>102.55</v>
      </c>
      <c r="H117" s="2" t="s">
        <v>93</v>
      </c>
      <c r="I117" s="2" t="s">
        <v>81</v>
      </c>
      <c r="J117" s="2" t="s">
        <v>27</v>
      </c>
      <c r="K117" s="2" t="s">
        <v>94</v>
      </c>
      <c r="L117" s="2" t="s">
        <v>15</v>
      </c>
      <c r="M117" s="4">
        <v>996</v>
      </c>
      <c r="N117" s="2" t="s">
        <v>89</v>
      </c>
      <c r="O117" s="5">
        <v>38</v>
      </c>
    </row>
    <row r="118" spans="1:15">
      <c r="A118" s="2" t="s">
        <v>79</v>
      </c>
      <c r="B118" s="2" t="s">
        <v>80</v>
      </c>
      <c r="C118" s="3">
        <v>35733</v>
      </c>
      <c r="D118" s="3">
        <v>35761</v>
      </c>
      <c r="E118" s="3">
        <v>35759</v>
      </c>
      <c r="F118" s="2" t="s">
        <v>16</v>
      </c>
      <c r="G118" s="4">
        <v>21.72</v>
      </c>
      <c r="H118" s="2" t="s">
        <v>93</v>
      </c>
      <c r="I118" s="2" t="s">
        <v>81</v>
      </c>
      <c r="J118" s="2" t="s">
        <v>27</v>
      </c>
      <c r="K118" s="2" t="s">
        <v>94</v>
      </c>
      <c r="L118" s="2" t="s">
        <v>15</v>
      </c>
      <c r="M118" s="4">
        <v>468.45</v>
      </c>
      <c r="N118" s="2" t="s">
        <v>89</v>
      </c>
      <c r="O118" s="5">
        <v>15</v>
      </c>
    </row>
    <row r="119" spans="1:15">
      <c r="A119" s="2" t="s">
        <v>79</v>
      </c>
      <c r="B119" s="2" t="s">
        <v>80</v>
      </c>
      <c r="C119" s="3">
        <v>35747</v>
      </c>
      <c r="D119" s="3">
        <v>35775</v>
      </c>
      <c r="E119" s="3">
        <v>35759</v>
      </c>
      <c r="F119" s="2" t="s">
        <v>10</v>
      </c>
      <c r="G119" s="4">
        <v>81.88</v>
      </c>
      <c r="H119" s="2" t="s">
        <v>93</v>
      </c>
      <c r="I119" s="2" t="s">
        <v>81</v>
      </c>
      <c r="J119" s="2" t="s">
        <v>27</v>
      </c>
      <c r="K119" s="2" t="s">
        <v>94</v>
      </c>
      <c r="L119" s="2" t="s">
        <v>15</v>
      </c>
      <c r="M119" s="4">
        <v>1770</v>
      </c>
      <c r="N119" s="2" t="s">
        <v>89</v>
      </c>
      <c r="O119" s="5">
        <v>94</v>
      </c>
    </row>
    <row r="120" spans="1:15">
      <c r="A120" s="2" t="s">
        <v>79</v>
      </c>
      <c r="B120" s="2" t="s">
        <v>80</v>
      </c>
      <c r="C120" s="3">
        <v>35825</v>
      </c>
      <c r="D120" s="3">
        <v>35853</v>
      </c>
      <c r="E120" s="3">
        <v>35843</v>
      </c>
      <c r="F120" s="2" t="s">
        <v>10</v>
      </c>
      <c r="G120" s="4">
        <v>14.93</v>
      </c>
      <c r="H120" s="2" t="s">
        <v>93</v>
      </c>
      <c r="I120" s="2" t="s">
        <v>81</v>
      </c>
      <c r="J120" s="2" t="s">
        <v>27</v>
      </c>
      <c r="K120" s="2" t="s">
        <v>94</v>
      </c>
      <c r="L120" s="2" t="s">
        <v>15</v>
      </c>
      <c r="M120" s="4">
        <v>3523.4</v>
      </c>
      <c r="N120" s="2" t="s">
        <v>89</v>
      </c>
      <c r="O120" s="5">
        <v>140</v>
      </c>
    </row>
    <row r="121" spans="1:15">
      <c r="A121" s="2" t="s">
        <v>79</v>
      </c>
      <c r="B121" s="2" t="s">
        <v>80</v>
      </c>
      <c r="C121" s="3">
        <v>35850</v>
      </c>
      <c r="D121" s="3">
        <v>35878</v>
      </c>
      <c r="E121" s="3">
        <v>35853</v>
      </c>
      <c r="F121" s="2" t="s">
        <v>17</v>
      </c>
      <c r="G121" s="4">
        <v>162.94999999999999</v>
      </c>
      <c r="H121" s="2" t="s">
        <v>93</v>
      </c>
      <c r="I121" s="2" t="s">
        <v>81</v>
      </c>
      <c r="J121" s="2" t="s">
        <v>27</v>
      </c>
      <c r="K121" s="2" t="s">
        <v>94</v>
      </c>
      <c r="L121" s="2" t="s">
        <v>15</v>
      </c>
      <c r="M121" s="4">
        <v>1924.25</v>
      </c>
      <c r="N121" s="2" t="s">
        <v>89</v>
      </c>
      <c r="O121" s="5">
        <v>50</v>
      </c>
    </row>
    <row r="122" spans="1:15">
      <c r="A122" s="2" t="s">
        <v>79</v>
      </c>
      <c r="B122" s="2" t="s">
        <v>80</v>
      </c>
      <c r="C122" s="3">
        <v>35902</v>
      </c>
      <c r="D122" s="3">
        <v>35930</v>
      </c>
      <c r="E122" s="3">
        <v>35908</v>
      </c>
      <c r="F122" s="2" t="s">
        <v>17</v>
      </c>
      <c r="G122" s="4">
        <v>606.19000000000005</v>
      </c>
      <c r="H122" s="2" t="s">
        <v>93</v>
      </c>
      <c r="I122" s="2" t="s">
        <v>81</v>
      </c>
      <c r="J122" s="2" t="s">
        <v>27</v>
      </c>
      <c r="K122" s="2" t="s">
        <v>94</v>
      </c>
      <c r="L122" s="2" t="s">
        <v>15</v>
      </c>
      <c r="M122" s="4">
        <v>8902.5</v>
      </c>
      <c r="N122" s="2" t="s">
        <v>89</v>
      </c>
      <c r="O122" s="5">
        <v>90</v>
      </c>
    </row>
    <row r="123" spans="1:15">
      <c r="A123" s="2" t="s">
        <v>79</v>
      </c>
      <c r="B123" s="2" t="s">
        <v>80</v>
      </c>
      <c r="C123" s="3">
        <v>35916</v>
      </c>
      <c r="D123" s="3">
        <v>35944</v>
      </c>
      <c r="E123" s="3">
        <v>35919</v>
      </c>
      <c r="F123" s="2" t="s">
        <v>10</v>
      </c>
      <c r="G123" s="4">
        <v>44.72</v>
      </c>
      <c r="H123" s="2" t="s">
        <v>93</v>
      </c>
      <c r="I123" s="2" t="s">
        <v>81</v>
      </c>
      <c r="J123" s="2" t="s">
        <v>27</v>
      </c>
      <c r="K123" s="2" t="s">
        <v>94</v>
      </c>
      <c r="L123" s="2" t="s">
        <v>15</v>
      </c>
      <c r="M123" s="4">
        <v>928.75</v>
      </c>
      <c r="N123" s="2" t="s">
        <v>89</v>
      </c>
      <c r="O123" s="5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O2"/>
  <sheetViews>
    <sheetView showGridLines="0" tabSelected="1" workbookViewId="0">
      <selection activeCell="T31" sqref="T31"/>
    </sheetView>
  </sheetViews>
  <sheetFormatPr defaultRowHeight="14.4"/>
  <cols>
    <col min="15" max="15" width="5.88671875" customWidth="1"/>
  </cols>
  <sheetData>
    <row r="1" spans="1:15" ht="10.8" customHeight="1"/>
    <row r="2" spans="1:15" ht="39.6" customHeight="1">
      <c r="A2" s="12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</sheetData>
  <mergeCells count="1">
    <mergeCell ref="A2:O2"/>
  </mergeCells>
  <pageMargins left="0.7" right="0.7" top="0.75" bottom="0.75" header="0.3" footer="0.3"/>
  <pageSetup paperSize="9" orientation="portrait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2:F34"/>
  <sheetViews>
    <sheetView workbookViewId="0">
      <selection activeCell="A28" sqref="A28"/>
    </sheetView>
  </sheetViews>
  <sheetFormatPr defaultRowHeight="14.4"/>
  <cols>
    <col min="1" max="1" width="12.77734375" bestFit="1" customWidth="1"/>
    <col min="2" max="2" width="17" customWidth="1"/>
  </cols>
  <sheetData>
    <row r="2" spans="1:6">
      <c r="A2" s="10"/>
      <c r="B2" s="10"/>
      <c r="C2" s="10"/>
      <c r="D2" s="10"/>
      <c r="E2" s="10"/>
      <c r="F2" s="10"/>
    </row>
    <row r="7" spans="1:6">
      <c r="A7" s="7" t="s">
        <v>96</v>
      </c>
      <c r="B7" t="s">
        <v>101</v>
      </c>
    </row>
    <row r="8" spans="1:6">
      <c r="A8" s="8" t="s">
        <v>98</v>
      </c>
      <c r="B8" s="9"/>
    </row>
    <row r="9" spans="1:6">
      <c r="A9" s="11" t="s">
        <v>105</v>
      </c>
      <c r="B9" s="9">
        <v>1300.8</v>
      </c>
    </row>
    <row r="10" spans="1:6">
      <c r="A10" s="11" t="s">
        <v>106</v>
      </c>
      <c r="B10" s="9">
        <v>3391.6</v>
      </c>
    </row>
    <row r="11" spans="1:6">
      <c r="A11" s="11" t="s">
        <v>107</v>
      </c>
      <c r="B11" s="9">
        <v>10367</v>
      </c>
    </row>
    <row r="12" spans="1:6">
      <c r="A12" s="11" t="s">
        <v>108</v>
      </c>
      <c r="B12" s="9">
        <v>11909.8</v>
      </c>
    </row>
    <row r="13" spans="1:6">
      <c r="A13" s="11" t="s">
        <v>109</v>
      </c>
      <c r="B13" s="9">
        <v>4728.8</v>
      </c>
    </row>
    <row r="14" spans="1:6">
      <c r="A14" s="11" t="s">
        <v>110</v>
      </c>
      <c r="B14" s="9">
        <v>10209.799999999999</v>
      </c>
    </row>
    <row r="15" spans="1:6">
      <c r="A15" s="8" t="s">
        <v>99</v>
      </c>
      <c r="B15" s="9"/>
    </row>
    <row r="16" spans="1:6">
      <c r="A16" s="11" t="s">
        <v>111</v>
      </c>
      <c r="B16" s="9">
        <v>4456</v>
      </c>
    </row>
    <row r="17" spans="1:2">
      <c r="A17" s="11" t="s">
        <v>112</v>
      </c>
      <c r="B17" s="9">
        <v>9644.1</v>
      </c>
    </row>
    <row r="18" spans="1:2">
      <c r="A18" s="11" t="s">
        <v>113</v>
      </c>
      <c r="B18" s="9">
        <v>12472.1</v>
      </c>
    </row>
    <row r="19" spans="1:2">
      <c r="A19" s="11" t="s">
        <v>114</v>
      </c>
      <c r="B19" s="9">
        <v>6123.94</v>
      </c>
    </row>
    <row r="20" spans="1:2">
      <c r="A20" s="11" t="s">
        <v>115</v>
      </c>
      <c r="B20" s="9">
        <v>1023.4000000000001</v>
      </c>
    </row>
    <row r="21" spans="1:2">
      <c r="A21" s="11" t="s">
        <v>116</v>
      </c>
      <c r="B21" s="9">
        <v>7608.05</v>
      </c>
    </row>
    <row r="22" spans="1:2">
      <c r="A22" s="11" t="s">
        <v>105</v>
      </c>
      <c r="B22" s="9">
        <v>26022.299999999996</v>
      </c>
    </row>
    <row r="23" spans="1:2">
      <c r="A23" s="11" t="s">
        <v>106</v>
      </c>
      <c r="B23" s="9">
        <v>2657.74</v>
      </c>
    </row>
    <row r="24" spans="1:2">
      <c r="A24" s="11" t="s">
        <v>107</v>
      </c>
      <c r="B24" s="9">
        <v>16429.95</v>
      </c>
    </row>
    <row r="25" spans="1:2">
      <c r="A25" s="11" t="s">
        <v>108</v>
      </c>
      <c r="B25" s="9">
        <v>20836.12</v>
      </c>
    </row>
    <row r="26" spans="1:2">
      <c r="A26" s="11" t="s">
        <v>109</v>
      </c>
      <c r="B26" s="9">
        <v>10131.5</v>
      </c>
    </row>
    <row r="27" spans="1:2">
      <c r="A27" s="11" t="s">
        <v>110</v>
      </c>
      <c r="B27" s="9">
        <v>3632.5</v>
      </c>
    </row>
    <row r="28" spans="1:2">
      <c r="A28" s="8" t="s">
        <v>100</v>
      </c>
      <c r="B28" s="9"/>
    </row>
    <row r="29" spans="1:2">
      <c r="A29" s="11" t="s">
        <v>111</v>
      </c>
      <c r="B29" s="9">
        <v>27594.450000000004</v>
      </c>
    </row>
    <row r="30" spans="1:2">
      <c r="A30" s="11" t="s">
        <v>112</v>
      </c>
      <c r="B30" s="9">
        <v>18775.650000000001</v>
      </c>
    </row>
    <row r="31" spans="1:2">
      <c r="A31" s="11" t="s">
        <v>113</v>
      </c>
      <c r="B31" s="9">
        <v>13004.25</v>
      </c>
    </row>
    <row r="32" spans="1:2">
      <c r="A32" s="11" t="s">
        <v>114</v>
      </c>
      <c r="B32" s="9">
        <v>34221.479999999996</v>
      </c>
    </row>
    <row r="33" spans="1:2">
      <c r="A33" s="11" t="s">
        <v>115</v>
      </c>
      <c r="B33" s="9">
        <v>7025.65</v>
      </c>
    </row>
    <row r="34" spans="1:2">
      <c r="A34" s="8" t="s">
        <v>97</v>
      </c>
      <c r="B34" s="9">
        <v>263566.98000000004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7:E16"/>
  <sheetViews>
    <sheetView workbookViewId="0">
      <selection activeCell="D9" sqref="D9:E16"/>
    </sheetView>
  </sheetViews>
  <sheetFormatPr defaultRowHeight="14.4"/>
  <cols>
    <col min="1" max="1" width="12.5546875" bestFit="1" customWidth="1"/>
    <col min="2" max="2" width="19.33203125" bestFit="1" customWidth="1"/>
    <col min="4" max="4" width="11.21875" bestFit="1" customWidth="1"/>
  </cols>
  <sheetData>
    <row r="7" spans="1:5">
      <c r="A7" s="7" t="s">
        <v>96</v>
      </c>
      <c r="B7" t="s">
        <v>102</v>
      </c>
    </row>
    <row r="8" spans="1:5">
      <c r="A8" s="8" t="s">
        <v>44</v>
      </c>
      <c r="B8" s="9">
        <v>10</v>
      </c>
    </row>
    <row r="9" spans="1:5">
      <c r="A9" s="8" t="s">
        <v>33</v>
      </c>
      <c r="B9" s="9">
        <v>4</v>
      </c>
      <c r="D9" s="8" t="s">
        <v>44</v>
      </c>
      <c r="E9" s="9">
        <v>10</v>
      </c>
    </row>
    <row r="10" spans="1:5">
      <c r="A10" s="8" t="s">
        <v>56</v>
      </c>
      <c r="B10" s="9">
        <v>31</v>
      </c>
      <c r="D10" s="8" t="s">
        <v>33</v>
      </c>
      <c r="E10" s="9">
        <v>4</v>
      </c>
    </row>
    <row r="11" spans="1:5">
      <c r="A11" s="8" t="s">
        <v>72</v>
      </c>
      <c r="B11" s="9">
        <v>3</v>
      </c>
      <c r="D11" s="8" t="s">
        <v>56</v>
      </c>
      <c r="E11" s="9">
        <v>31</v>
      </c>
    </row>
    <row r="12" spans="1:5">
      <c r="A12" s="8" t="s">
        <v>50</v>
      </c>
      <c r="B12" s="9">
        <v>18</v>
      </c>
      <c r="D12" s="8" t="s">
        <v>72</v>
      </c>
      <c r="E12" s="9">
        <v>3</v>
      </c>
    </row>
    <row r="13" spans="1:5">
      <c r="A13" s="8" t="s">
        <v>13</v>
      </c>
      <c r="B13" s="9">
        <v>28</v>
      </c>
      <c r="D13" s="8" t="s">
        <v>50</v>
      </c>
      <c r="E13" s="9">
        <v>18</v>
      </c>
    </row>
    <row r="14" spans="1:5">
      <c r="A14" s="8" t="s">
        <v>27</v>
      </c>
      <c r="B14" s="9">
        <v>19</v>
      </c>
      <c r="D14" s="8" t="s">
        <v>13</v>
      </c>
      <c r="E14" s="9">
        <v>28</v>
      </c>
    </row>
    <row r="15" spans="1:5">
      <c r="A15" s="8" t="s">
        <v>62</v>
      </c>
      <c r="B15" s="9">
        <v>9</v>
      </c>
      <c r="D15" s="8" t="s">
        <v>27</v>
      </c>
      <c r="E15" s="9">
        <v>19</v>
      </c>
    </row>
    <row r="16" spans="1:5">
      <c r="A16" s="8" t="s">
        <v>97</v>
      </c>
      <c r="B16" s="9">
        <v>122</v>
      </c>
      <c r="D16" s="8" t="s">
        <v>62</v>
      </c>
      <c r="E16" s="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7:B22"/>
  <sheetViews>
    <sheetView workbookViewId="0">
      <selection activeCell="A7" sqref="A7"/>
    </sheetView>
  </sheetViews>
  <sheetFormatPr defaultRowHeight="14.4"/>
  <cols>
    <col min="1" max="1" width="28.88671875" bestFit="1" customWidth="1"/>
    <col min="2" max="2" width="17" customWidth="1"/>
    <col min="3" max="3" width="16.109375" customWidth="1"/>
  </cols>
  <sheetData>
    <row r="7" spans="1:2">
      <c r="A7" s="7" t="s">
        <v>96</v>
      </c>
      <c r="B7" t="s">
        <v>101</v>
      </c>
    </row>
    <row r="8" spans="1:2">
      <c r="A8" s="8" t="s">
        <v>80</v>
      </c>
      <c r="B8" s="9">
        <v>29073.45</v>
      </c>
    </row>
    <row r="9" spans="1:2">
      <c r="A9" s="8" t="s">
        <v>75</v>
      </c>
      <c r="B9" s="9">
        <v>1571.2</v>
      </c>
    </row>
    <row r="10" spans="1:2">
      <c r="A10" s="8" t="s">
        <v>69</v>
      </c>
      <c r="B10" s="9">
        <v>1947.24</v>
      </c>
    </row>
    <row r="11" spans="1:2">
      <c r="A11" s="8" t="s">
        <v>65</v>
      </c>
      <c r="B11" s="9">
        <v>3361</v>
      </c>
    </row>
    <row r="12" spans="1:2">
      <c r="A12" s="8" t="s">
        <v>59</v>
      </c>
      <c r="B12" s="9">
        <v>12489.7</v>
      </c>
    </row>
    <row r="13" spans="1:2">
      <c r="A13" s="8" t="s">
        <v>53</v>
      </c>
      <c r="B13" s="9">
        <v>115673.38999999997</v>
      </c>
    </row>
    <row r="14" spans="1:2">
      <c r="A14" s="8" t="s">
        <v>47</v>
      </c>
      <c r="B14" s="9">
        <v>52245.9</v>
      </c>
    </row>
    <row r="15" spans="1:2">
      <c r="A15" s="8" t="s">
        <v>92</v>
      </c>
      <c r="B15" s="9">
        <v>1660</v>
      </c>
    </row>
    <row r="16" spans="1:2">
      <c r="A16" s="8" t="s">
        <v>41</v>
      </c>
      <c r="B16" s="9">
        <v>14665.15</v>
      </c>
    </row>
    <row r="17" spans="1:2">
      <c r="A17" s="8" t="s">
        <v>36</v>
      </c>
      <c r="B17" s="9">
        <v>4258.6000000000004</v>
      </c>
    </row>
    <row r="18" spans="1:2">
      <c r="A18" s="8" t="s">
        <v>30</v>
      </c>
      <c r="B18" s="9">
        <v>3490.02</v>
      </c>
    </row>
    <row r="19" spans="1:2">
      <c r="A19" s="8" t="s">
        <v>24</v>
      </c>
      <c r="B19" s="9">
        <v>357</v>
      </c>
    </row>
    <row r="20" spans="1:2">
      <c r="A20" s="8" t="s">
        <v>19</v>
      </c>
      <c r="B20" s="9">
        <v>3063.2</v>
      </c>
    </row>
    <row r="21" spans="1:2">
      <c r="A21" s="8" t="s">
        <v>9</v>
      </c>
      <c r="B21" s="9">
        <v>19711.13</v>
      </c>
    </row>
    <row r="22" spans="1:2">
      <c r="A22" s="8" t="s">
        <v>97</v>
      </c>
      <c r="B22" s="9">
        <v>263566.98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6:B17"/>
  <sheetViews>
    <sheetView workbookViewId="0">
      <selection activeCell="A15" sqref="A15"/>
    </sheetView>
  </sheetViews>
  <sheetFormatPr defaultRowHeight="14.4"/>
  <cols>
    <col min="1" max="1" width="12.5546875" customWidth="1"/>
    <col min="2" max="2" width="19.33203125" customWidth="1"/>
    <col min="3" max="3" width="20.77734375" customWidth="1"/>
  </cols>
  <sheetData>
    <row r="6" spans="1:2">
      <c r="A6" s="7" t="s">
        <v>96</v>
      </c>
      <c r="B6" t="s">
        <v>103</v>
      </c>
    </row>
    <row r="7" spans="1:2">
      <c r="A7" s="8" t="s">
        <v>17</v>
      </c>
      <c r="B7" s="9">
        <v>5697.9900000000016</v>
      </c>
    </row>
    <row r="8" spans="1:2">
      <c r="A8" s="8" t="s">
        <v>16</v>
      </c>
      <c r="B8" s="9">
        <v>2294.7199999999993</v>
      </c>
    </row>
    <row r="9" spans="1:2">
      <c r="A9" s="8" t="s">
        <v>10</v>
      </c>
      <c r="B9" s="9">
        <v>5778.5800000000017</v>
      </c>
    </row>
    <row r="10" spans="1:2">
      <c r="A10" s="8" t="s">
        <v>97</v>
      </c>
      <c r="B10" s="9">
        <v>13771.290000000003</v>
      </c>
    </row>
    <row r="14" spans="1:2">
      <c r="A14" s="7" t="s">
        <v>96</v>
      </c>
      <c r="B14" t="s">
        <v>104</v>
      </c>
    </row>
    <row r="15" spans="1:2">
      <c r="A15" s="8" t="s">
        <v>89</v>
      </c>
      <c r="B15" s="9">
        <v>115</v>
      </c>
    </row>
    <row r="16" spans="1:2">
      <c r="A16" s="8" t="s">
        <v>90</v>
      </c>
      <c r="B16" s="9">
        <v>7</v>
      </c>
    </row>
    <row r="17" spans="1:2">
      <c r="A17" s="8" t="s">
        <v>97</v>
      </c>
      <c r="B17" s="9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DASHBOARD</vt:lpstr>
      <vt:lpstr>YEARLY SALES PT</vt:lpstr>
      <vt:lpstr>CUSTOMER MAP</vt:lpstr>
      <vt:lpstr>CUsTOMER SALES PT</vt:lpstr>
      <vt:lpstr>SHIPPING 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samirkulkarni02@outlook.com</cp:lastModifiedBy>
  <dcterms:created xsi:type="dcterms:W3CDTF">2020-06-23T23:12:13Z</dcterms:created>
  <dcterms:modified xsi:type="dcterms:W3CDTF">2026-01-06T16:07:23Z</dcterms:modified>
</cp:coreProperties>
</file>